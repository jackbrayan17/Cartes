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Desktop\"/>
    </mc:Choice>
  </mc:AlternateContent>
  <bookViews>
    <workbookView xWindow="-105" yWindow="-105" windowWidth="16605" windowHeight="8835" activeTab="1"/>
  </bookViews>
  <sheets>
    <sheet name="4-Synthése Questions   " sheetId="2" r:id="rId1"/>
    <sheet name="Analyse resultats" sheetId="1" r:id="rId2"/>
    <sheet name="PR MARCHE PAR FI" sheetId="3" r:id="rId3"/>
    <sheet name="Veille sur le marché" sheetId="4" r:id="rId4"/>
    <sheet name="Frein au marché " sheetId="5" r:id="rId5"/>
    <sheet name="Frein  marché par fillié NV 1  " sheetId="6" r:id="rId6"/>
    <sheet name="FILLIERRES" sheetId="9" r:id="rId7"/>
    <sheet name="Frein  marché par fillié NV (2)" sheetId="10" r:id="rId8"/>
    <sheet name="Frein  marché par fillié NV (3)" sheetId="11" r:id="rId9"/>
    <sheet name="Frein  marché par fillié NV (4)" sheetId="12" r:id="rId10"/>
    <sheet name="Frein  marché par fillié NV (5)" sheetId="13" r:id="rId11"/>
    <sheet name="Frein  marché par fillié NV (6)" sheetId="14" r:id="rId12"/>
  </sheets>
  <definedNames>
    <definedName name="_xlnm._FilterDatabase" localSheetId="1" hidden="1">'Analyse resultats'!$K$1:$K$108</definedName>
    <definedName name="_xlchart.v1.0" hidden="1">'PR MARCHE PAR FI'!$A$10</definedName>
    <definedName name="_xlchart.v1.1" hidden="1">'PR MARCHE PAR FI'!$A$11</definedName>
    <definedName name="_xlchart.v1.10" hidden="1">'PR MARCHE PAR FI'!$B$3:$G$3</definedName>
    <definedName name="_xlchart.v1.11" hidden="1">'PR MARCHE PAR FI'!$B$4:$G$4</definedName>
    <definedName name="_xlchart.v1.12" hidden="1">'PR MARCHE PAR FI'!$B$5:$G$5</definedName>
    <definedName name="_xlchart.v1.13" hidden="1">'PR MARCHE PAR FI'!$B$6:$G$6</definedName>
    <definedName name="_xlchart.v1.14" hidden="1">'PR MARCHE PAR FI'!$B$7:$G$7</definedName>
    <definedName name="_xlchart.v1.15" hidden="1">'PR MARCHE PAR FI'!$B$8:$G$8</definedName>
    <definedName name="_xlchart.v1.16" hidden="1">'PR MARCHE PAR FI'!$B$9:$G$9</definedName>
    <definedName name="_xlchart.v1.2" hidden="1">'PR MARCHE PAR FI'!$A$4</definedName>
    <definedName name="_xlchart.v1.3" hidden="1">'PR MARCHE PAR FI'!$A$5</definedName>
    <definedName name="_xlchart.v1.4" hidden="1">'PR MARCHE PAR FI'!$A$6</definedName>
    <definedName name="_xlchart.v1.5" hidden="1">'PR MARCHE PAR FI'!$A$7</definedName>
    <definedName name="_xlchart.v1.6" hidden="1">'PR MARCHE PAR FI'!$A$8</definedName>
    <definedName name="_xlchart.v1.7" hidden="1">'PR MARCHE PAR FI'!$A$9</definedName>
    <definedName name="_xlchart.v1.8" hidden="1">'PR MARCHE PAR FI'!$B$10:$G$10</definedName>
    <definedName name="_xlchart.v1.9" hidden="1">'PR MARCHE PAR FI'!$B$11:$G$11</definedName>
    <definedName name="_xlnm.Print_Area" localSheetId="0">'4-Synthése Questions   '!$B$2:$W$10</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00" i="1" l="1"/>
  <c r="N99" i="1" l="1"/>
  <c r="B9" i="3" s="1"/>
  <c r="O100" i="1"/>
  <c r="C10" i="3" s="1"/>
  <c r="P100" i="1"/>
  <c r="D10" i="3" s="1"/>
  <c r="Q100" i="1"/>
  <c r="E10" i="3" s="1"/>
  <c r="R100" i="1"/>
  <c r="F10" i="3" s="1"/>
  <c r="S100" i="1"/>
  <c r="G10" i="3" s="1"/>
  <c r="T100" i="1"/>
  <c r="U100" i="1"/>
  <c r="V100" i="1"/>
  <c r="B10" i="6" s="1"/>
  <c r="W100" i="1"/>
  <c r="C10" i="6" s="1"/>
  <c r="X100" i="1"/>
  <c r="D10" i="6" s="1"/>
  <c r="Y100" i="1"/>
  <c r="E10" i="6" s="1"/>
  <c r="Z100" i="1"/>
  <c r="F10" i="6" s="1"/>
  <c r="AA100" i="1"/>
  <c r="G10" i="6" s="1"/>
  <c r="AB100" i="1"/>
  <c r="H10" i="6" s="1"/>
  <c r="AC100" i="1"/>
  <c r="I10" i="6" s="1"/>
  <c r="AD100" i="1"/>
  <c r="J10" i="6" s="1"/>
  <c r="AE100" i="1"/>
  <c r="K10" i="6" s="1"/>
  <c r="AF100" i="1"/>
  <c r="L10" i="6" s="1"/>
  <c r="AG100" i="1"/>
  <c r="M10" i="6" s="1"/>
  <c r="AH100" i="1"/>
  <c r="N10" i="6" s="1"/>
  <c r="AI100" i="1"/>
  <c r="O10" i="6" s="1"/>
  <c r="AJ100" i="1"/>
  <c r="P10" i="6" s="1"/>
  <c r="AK100" i="1"/>
  <c r="Q10" i="6" s="1"/>
  <c r="AL100" i="1"/>
  <c r="AM100" i="1"/>
  <c r="AN100" i="1"/>
  <c r="B10" i="10" s="1"/>
  <c r="AO100" i="1"/>
  <c r="C10" i="10" s="1"/>
  <c r="AP100" i="1"/>
  <c r="D10" i="10" s="1"/>
  <c r="AQ100" i="1"/>
  <c r="E10" i="10" s="1"/>
  <c r="AR100" i="1"/>
  <c r="F10" i="10" s="1"/>
  <c r="AS100" i="1"/>
  <c r="G10" i="10" s="1"/>
  <c r="AT100" i="1"/>
  <c r="H10" i="10" s="1"/>
  <c r="AU100" i="1"/>
  <c r="I10" i="10" s="1"/>
  <c r="AV100" i="1"/>
  <c r="J10" i="10" s="1"/>
  <c r="AW100" i="1"/>
  <c r="K10" i="10" s="1"/>
  <c r="AX100" i="1"/>
  <c r="L10" i="10" s="1"/>
  <c r="AY100" i="1"/>
  <c r="M10" i="10" s="1"/>
  <c r="AZ100" i="1"/>
  <c r="N10" i="10" s="1"/>
  <c r="BA100" i="1"/>
  <c r="O10" i="10" s="1"/>
  <c r="BB100" i="1"/>
  <c r="P10" i="10" s="1"/>
  <c r="BC100" i="1"/>
  <c r="Q10" i="10" s="1"/>
  <c r="BD100" i="1"/>
  <c r="BE100" i="1"/>
  <c r="BF100" i="1"/>
  <c r="B10" i="11" s="1"/>
  <c r="BG100" i="1"/>
  <c r="C10" i="11" s="1"/>
  <c r="BH100" i="1"/>
  <c r="D10" i="11" s="1"/>
  <c r="BI100" i="1"/>
  <c r="E10" i="11" s="1"/>
  <c r="BJ100" i="1"/>
  <c r="F10" i="11" s="1"/>
  <c r="BK100" i="1"/>
  <c r="G10" i="11" s="1"/>
  <c r="BL100" i="1"/>
  <c r="H10" i="11" s="1"/>
  <c r="BM100" i="1"/>
  <c r="I10" i="11" s="1"/>
  <c r="BN100" i="1"/>
  <c r="J10" i="11" s="1"/>
  <c r="BO100" i="1"/>
  <c r="K10" i="11" s="1"/>
  <c r="BP100" i="1"/>
  <c r="L10" i="11" s="1"/>
  <c r="BQ100" i="1"/>
  <c r="M10" i="11" s="1"/>
  <c r="BR100" i="1"/>
  <c r="N10" i="11" s="1"/>
  <c r="BS100" i="1"/>
  <c r="O10" i="11" s="1"/>
  <c r="BT100" i="1"/>
  <c r="P10" i="11" s="1"/>
  <c r="BU100" i="1"/>
  <c r="Q10" i="11" s="1"/>
  <c r="BV100" i="1"/>
  <c r="BW100" i="1"/>
  <c r="BX100" i="1"/>
  <c r="B10" i="12" s="1"/>
  <c r="BY100" i="1"/>
  <c r="C10" i="12" s="1"/>
  <c r="BZ100" i="1"/>
  <c r="D10" i="12" s="1"/>
  <c r="CA100" i="1"/>
  <c r="E10" i="12" s="1"/>
  <c r="CB100" i="1"/>
  <c r="F10" i="12" s="1"/>
  <c r="CC100" i="1"/>
  <c r="G10" i="12" s="1"/>
  <c r="CD100" i="1"/>
  <c r="H10" i="12" s="1"/>
  <c r="CE100" i="1"/>
  <c r="I10" i="12" s="1"/>
  <c r="CF100" i="1"/>
  <c r="J10" i="12" s="1"/>
  <c r="CG100" i="1"/>
  <c r="K10" i="12" s="1"/>
  <c r="CH100" i="1"/>
  <c r="L10" i="12" s="1"/>
  <c r="CI100" i="1"/>
  <c r="M10" i="12" s="1"/>
  <c r="CJ100" i="1"/>
  <c r="N10" i="12" s="1"/>
  <c r="CK100" i="1"/>
  <c r="O10" i="12" s="1"/>
  <c r="CL100" i="1"/>
  <c r="P10" i="12" s="1"/>
  <c r="CM100" i="1"/>
  <c r="Q10" i="12" s="1"/>
  <c r="CN100" i="1"/>
  <c r="CO100" i="1"/>
  <c r="CP100" i="1"/>
  <c r="B10" i="13" s="1"/>
  <c r="CQ100" i="1"/>
  <c r="C10" i="13" s="1"/>
  <c r="CR100" i="1"/>
  <c r="D10" i="13" s="1"/>
  <c r="CS100" i="1"/>
  <c r="E10" i="13" s="1"/>
  <c r="CT100" i="1"/>
  <c r="F10" i="13" s="1"/>
  <c r="CU100" i="1"/>
  <c r="G10" i="13" s="1"/>
  <c r="CV100" i="1"/>
  <c r="H10" i="13" s="1"/>
  <c r="CW100" i="1"/>
  <c r="I10" i="13" s="1"/>
  <c r="CX100" i="1"/>
  <c r="J10" i="13" s="1"/>
  <c r="CY100" i="1"/>
  <c r="K10" i="13" s="1"/>
  <c r="CZ100" i="1"/>
  <c r="L10" i="13" s="1"/>
  <c r="DA100" i="1"/>
  <c r="M10" i="13" s="1"/>
  <c r="DB100" i="1"/>
  <c r="N10" i="13" s="1"/>
  <c r="DC100" i="1"/>
  <c r="O10" i="13" s="1"/>
  <c r="DD100" i="1"/>
  <c r="P10" i="13" s="1"/>
  <c r="DE100" i="1"/>
  <c r="Q10" i="13" s="1"/>
  <c r="DF100" i="1"/>
  <c r="DG100" i="1"/>
  <c r="DH100" i="1"/>
  <c r="B10" i="14" s="1"/>
  <c r="DI100" i="1"/>
  <c r="C10" i="14" s="1"/>
  <c r="DJ100" i="1"/>
  <c r="D10" i="14" s="1"/>
  <c r="DK100" i="1"/>
  <c r="E10" i="14" s="1"/>
  <c r="DL100" i="1"/>
  <c r="F10" i="14" s="1"/>
  <c r="DM100" i="1"/>
  <c r="G10" i="14" s="1"/>
  <c r="DN100" i="1"/>
  <c r="H10" i="14" s="1"/>
  <c r="DO100" i="1"/>
  <c r="I10" i="14" s="1"/>
  <c r="DP100" i="1"/>
  <c r="J10" i="14" s="1"/>
  <c r="DQ100" i="1"/>
  <c r="K10" i="14" s="1"/>
  <c r="DR100" i="1"/>
  <c r="L10" i="14" s="1"/>
  <c r="DS100" i="1"/>
  <c r="M10" i="14" s="1"/>
  <c r="DT100" i="1"/>
  <c r="N10" i="14" s="1"/>
  <c r="DU100" i="1"/>
  <c r="O10" i="14" s="1"/>
  <c r="DV100" i="1"/>
  <c r="P10" i="14" s="1"/>
  <c r="DW100" i="1"/>
  <c r="Q10" i="14" s="1"/>
  <c r="B10" i="3"/>
  <c r="DF93" i="1"/>
  <c r="G4" i="4" s="1"/>
  <c r="E10" i="2" s="1"/>
  <c r="DG93" i="1"/>
  <c r="G5" i="4" s="1"/>
  <c r="F10" i="2" s="1"/>
  <c r="DF94" i="1"/>
  <c r="DG94" i="1"/>
  <c r="DF95" i="1"/>
  <c r="DG95" i="1"/>
  <c r="DF96" i="1"/>
  <c r="DG96" i="1"/>
  <c r="DF97" i="1"/>
  <c r="DG97" i="1"/>
  <c r="DF98" i="1"/>
  <c r="DG98" i="1"/>
  <c r="DF99" i="1"/>
  <c r="DG99" i="1"/>
  <c r="O99" i="1"/>
  <c r="C9" i="3" s="1"/>
  <c r="P99" i="1"/>
  <c r="D9" i="3" s="1"/>
  <c r="Q99" i="1"/>
  <c r="E9" i="3" s="1"/>
  <c r="R99" i="1"/>
  <c r="F9" i="3" s="1"/>
  <c r="S99" i="1"/>
  <c r="G9" i="3" s="1"/>
  <c r="T99" i="1"/>
  <c r="U99" i="1"/>
  <c r="V99" i="1"/>
  <c r="B9" i="6" s="1"/>
  <c r="W99" i="1"/>
  <c r="C9" i="6" s="1"/>
  <c r="X99" i="1"/>
  <c r="D9" i="6" s="1"/>
  <c r="Y99" i="1"/>
  <c r="E9" i="6" s="1"/>
  <c r="Z99" i="1"/>
  <c r="F9" i="6" s="1"/>
  <c r="AA99" i="1"/>
  <c r="G9" i="6" s="1"/>
  <c r="AB99" i="1"/>
  <c r="H9" i="6" s="1"/>
  <c r="AC99" i="1"/>
  <c r="I9" i="6" s="1"/>
  <c r="AD99" i="1"/>
  <c r="J9" i="6" s="1"/>
  <c r="AE99" i="1"/>
  <c r="K9" i="6" s="1"/>
  <c r="AF99" i="1"/>
  <c r="L9" i="6" s="1"/>
  <c r="AG99" i="1"/>
  <c r="M9" i="6" s="1"/>
  <c r="AH99" i="1"/>
  <c r="N9" i="6" s="1"/>
  <c r="AI99" i="1"/>
  <c r="O9" i="6" s="1"/>
  <c r="AJ99" i="1"/>
  <c r="P9" i="6" s="1"/>
  <c r="AK99" i="1"/>
  <c r="Q9" i="6" s="1"/>
  <c r="AL99" i="1"/>
  <c r="AM99" i="1"/>
  <c r="AN99" i="1"/>
  <c r="B9" i="10" s="1"/>
  <c r="AO99" i="1"/>
  <c r="C9" i="10" s="1"/>
  <c r="AP99" i="1"/>
  <c r="D9" i="10" s="1"/>
  <c r="AQ99" i="1"/>
  <c r="E9" i="10" s="1"/>
  <c r="AR99" i="1"/>
  <c r="F9" i="10" s="1"/>
  <c r="AS99" i="1"/>
  <c r="G9" i="10" s="1"/>
  <c r="AT99" i="1"/>
  <c r="H9" i="10" s="1"/>
  <c r="AU99" i="1"/>
  <c r="I9" i="10" s="1"/>
  <c r="AV99" i="1"/>
  <c r="J9" i="10" s="1"/>
  <c r="AW99" i="1"/>
  <c r="K9" i="10" s="1"/>
  <c r="AX99" i="1"/>
  <c r="L9" i="10" s="1"/>
  <c r="AY99" i="1"/>
  <c r="M9" i="10" s="1"/>
  <c r="AZ99" i="1"/>
  <c r="N9" i="10" s="1"/>
  <c r="BA99" i="1"/>
  <c r="O9" i="10" s="1"/>
  <c r="BB99" i="1"/>
  <c r="P9" i="10" s="1"/>
  <c r="BC99" i="1"/>
  <c r="Q9" i="10" s="1"/>
  <c r="BD99" i="1"/>
  <c r="BE99" i="1"/>
  <c r="BF99" i="1"/>
  <c r="B9" i="11" s="1"/>
  <c r="BG99" i="1"/>
  <c r="C9" i="11" s="1"/>
  <c r="BH99" i="1"/>
  <c r="D9" i="11" s="1"/>
  <c r="BI99" i="1"/>
  <c r="E9" i="11" s="1"/>
  <c r="BJ99" i="1"/>
  <c r="F9" i="11" s="1"/>
  <c r="BK99" i="1"/>
  <c r="G9" i="11" s="1"/>
  <c r="BL99" i="1"/>
  <c r="H9" i="11" s="1"/>
  <c r="BM99" i="1"/>
  <c r="I9" i="11" s="1"/>
  <c r="BN99" i="1"/>
  <c r="J9" i="11" s="1"/>
  <c r="BO99" i="1"/>
  <c r="K9" i="11" s="1"/>
  <c r="BP99" i="1"/>
  <c r="L9" i="11" s="1"/>
  <c r="BQ99" i="1"/>
  <c r="M9" i="11" s="1"/>
  <c r="BR99" i="1"/>
  <c r="N9" i="11" s="1"/>
  <c r="BS99" i="1"/>
  <c r="O9" i="11" s="1"/>
  <c r="BT99" i="1"/>
  <c r="P9" i="11" s="1"/>
  <c r="BU99" i="1"/>
  <c r="Q9" i="11" s="1"/>
  <c r="BV99" i="1"/>
  <c r="BW99" i="1"/>
  <c r="BX99" i="1"/>
  <c r="B9" i="12" s="1"/>
  <c r="BY99" i="1"/>
  <c r="C9" i="12" s="1"/>
  <c r="BZ99" i="1"/>
  <c r="D9" i="12" s="1"/>
  <c r="CA99" i="1"/>
  <c r="E9" i="12" s="1"/>
  <c r="CB99" i="1"/>
  <c r="F9" i="12" s="1"/>
  <c r="CC99" i="1"/>
  <c r="G9" i="12" s="1"/>
  <c r="CD99" i="1"/>
  <c r="H9" i="12" s="1"/>
  <c r="CE99" i="1"/>
  <c r="I9" i="12" s="1"/>
  <c r="CF99" i="1"/>
  <c r="J9" i="12" s="1"/>
  <c r="CG99" i="1"/>
  <c r="K9" i="12" s="1"/>
  <c r="CH99" i="1"/>
  <c r="L9" i="12" s="1"/>
  <c r="CI99" i="1"/>
  <c r="M9" i="12" s="1"/>
  <c r="CJ99" i="1"/>
  <c r="N9" i="12" s="1"/>
  <c r="CK99" i="1"/>
  <c r="O9" i="12" s="1"/>
  <c r="CL99" i="1"/>
  <c r="P9" i="12" s="1"/>
  <c r="CM99" i="1"/>
  <c r="Q9" i="12" s="1"/>
  <c r="CN99" i="1"/>
  <c r="CO99" i="1"/>
  <c r="CP99" i="1"/>
  <c r="B9" i="13" s="1"/>
  <c r="CQ99" i="1"/>
  <c r="C9" i="13" s="1"/>
  <c r="CR99" i="1"/>
  <c r="D9" i="13" s="1"/>
  <c r="CS99" i="1"/>
  <c r="E9" i="13" s="1"/>
  <c r="CT99" i="1"/>
  <c r="F9" i="13" s="1"/>
  <c r="CU99" i="1"/>
  <c r="G9" i="13" s="1"/>
  <c r="CV99" i="1"/>
  <c r="H9" i="13" s="1"/>
  <c r="CW99" i="1"/>
  <c r="I9" i="13" s="1"/>
  <c r="CX99" i="1"/>
  <c r="J9" i="13" s="1"/>
  <c r="CY99" i="1"/>
  <c r="K9" i="13" s="1"/>
  <c r="CZ99" i="1"/>
  <c r="L9" i="13" s="1"/>
  <c r="DA99" i="1"/>
  <c r="M9" i="13" s="1"/>
  <c r="DB99" i="1"/>
  <c r="N9" i="13" s="1"/>
  <c r="DC99" i="1"/>
  <c r="O9" i="13" s="1"/>
  <c r="DD99" i="1"/>
  <c r="P9" i="13" s="1"/>
  <c r="DE99" i="1"/>
  <c r="Q9" i="13" s="1"/>
  <c r="DH99" i="1"/>
  <c r="B9" i="14" s="1"/>
  <c r="DI99" i="1"/>
  <c r="C9" i="14" s="1"/>
  <c r="DJ99" i="1"/>
  <c r="D9" i="14" s="1"/>
  <c r="DK99" i="1"/>
  <c r="E9" i="14" s="1"/>
  <c r="DL99" i="1"/>
  <c r="F9" i="14" s="1"/>
  <c r="DM99" i="1"/>
  <c r="G9" i="14" s="1"/>
  <c r="DN99" i="1"/>
  <c r="H9" i="14" s="1"/>
  <c r="DO99" i="1"/>
  <c r="I9" i="14" s="1"/>
  <c r="DP99" i="1"/>
  <c r="J9" i="14" s="1"/>
  <c r="DQ99" i="1"/>
  <c r="K9" i="14" s="1"/>
  <c r="DR99" i="1"/>
  <c r="L9" i="14" s="1"/>
  <c r="DS99" i="1"/>
  <c r="M9" i="14" s="1"/>
  <c r="DT99" i="1"/>
  <c r="N9" i="14" s="1"/>
  <c r="DU99" i="1"/>
  <c r="O9" i="14" s="1"/>
  <c r="DV99" i="1"/>
  <c r="P9" i="14" s="1"/>
  <c r="DW99" i="1"/>
  <c r="Q9" i="14" s="1"/>
  <c r="K97" i="1"/>
  <c r="D8" i="9" s="1"/>
  <c r="N95" i="1"/>
  <c r="B5" i="3" s="1"/>
  <c r="O98" i="1"/>
  <c r="C8" i="3" s="1"/>
  <c r="P98" i="1"/>
  <c r="D8" i="3" s="1"/>
  <c r="Q98" i="1"/>
  <c r="E8" i="3" s="1"/>
  <c r="R98" i="1"/>
  <c r="F8" i="3" s="1"/>
  <c r="S98" i="1"/>
  <c r="G8" i="3" s="1"/>
  <c r="T98" i="1"/>
  <c r="U98" i="1"/>
  <c r="V98" i="1"/>
  <c r="B8" i="6" s="1"/>
  <c r="W98" i="1"/>
  <c r="C8" i="6" s="1"/>
  <c r="X98" i="1"/>
  <c r="D8" i="6" s="1"/>
  <c r="Y98" i="1"/>
  <c r="E8" i="6" s="1"/>
  <c r="Z98" i="1"/>
  <c r="F8" i="6" s="1"/>
  <c r="AA98" i="1"/>
  <c r="G8" i="6" s="1"/>
  <c r="AB98" i="1"/>
  <c r="H8" i="6" s="1"/>
  <c r="AC98" i="1"/>
  <c r="I8" i="6" s="1"/>
  <c r="AD98" i="1"/>
  <c r="J8" i="6" s="1"/>
  <c r="AE98" i="1"/>
  <c r="K8" i="6" s="1"/>
  <c r="AF98" i="1"/>
  <c r="L8" i="6" s="1"/>
  <c r="AG98" i="1"/>
  <c r="M8" i="6" s="1"/>
  <c r="AH98" i="1"/>
  <c r="N8" i="6" s="1"/>
  <c r="AI98" i="1"/>
  <c r="O8" i="6" s="1"/>
  <c r="AJ98" i="1"/>
  <c r="P8" i="6" s="1"/>
  <c r="AK98" i="1"/>
  <c r="Q8" i="6" s="1"/>
  <c r="AL98" i="1"/>
  <c r="AM98" i="1"/>
  <c r="AN98" i="1"/>
  <c r="B8" i="10" s="1"/>
  <c r="AO98" i="1"/>
  <c r="C8" i="10" s="1"/>
  <c r="AP98" i="1"/>
  <c r="D8" i="10" s="1"/>
  <c r="AQ98" i="1"/>
  <c r="E8" i="10" s="1"/>
  <c r="AR98" i="1"/>
  <c r="F8" i="10" s="1"/>
  <c r="AS98" i="1"/>
  <c r="G8" i="10" s="1"/>
  <c r="AT98" i="1"/>
  <c r="H8" i="10" s="1"/>
  <c r="AU98" i="1"/>
  <c r="I8" i="10" s="1"/>
  <c r="AV98" i="1"/>
  <c r="J8" i="10" s="1"/>
  <c r="AW98" i="1"/>
  <c r="K8" i="10" s="1"/>
  <c r="AX98" i="1"/>
  <c r="L8" i="10" s="1"/>
  <c r="AY98" i="1"/>
  <c r="M8" i="10" s="1"/>
  <c r="AZ98" i="1"/>
  <c r="N8" i="10" s="1"/>
  <c r="BA98" i="1"/>
  <c r="O8" i="10" s="1"/>
  <c r="BB98" i="1"/>
  <c r="P8" i="10" s="1"/>
  <c r="BC98" i="1"/>
  <c r="Q8" i="10" s="1"/>
  <c r="BD98" i="1"/>
  <c r="BE98" i="1"/>
  <c r="BF98" i="1"/>
  <c r="B8" i="11" s="1"/>
  <c r="BG98" i="1"/>
  <c r="C8" i="11" s="1"/>
  <c r="BH98" i="1"/>
  <c r="D8" i="11" s="1"/>
  <c r="BI98" i="1"/>
  <c r="E8" i="11" s="1"/>
  <c r="BJ98" i="1"/>
  <c r="F8" i="11" s="1"/>
  <c r="BK98" i="1"/>
  <c r="G8" i="11" s="1"/>
  <c r="BL98" i="1"/>
  <c r="H8" i="11" s="1"/>
  <c r="BM98" i="1"/>
  <c r="I8" i="11" s="1"/>
  <c r="BN98" i="1"/>
  <c r="J8" i="11" s="1"/>
  <c r="BO98" i="1"/>
  <c r="K8" i="11" s="1"/>
  <c r="BP98" i="1"/>
  <c r="L8" i="11" s="1"/>
  <c r="BQ98" i="1"/>
  <c r="M8" i="11" s="1"/>
  <c r="BR98" i="1"/>
  <c r="N8" i="11" s="1"/>
  <c r="BS98" i="1"/>
  <c r="O8" i="11" s="1"/>
  <c r="BT98" i="1"/>
  <c r="P8" i="11" s="1"/>
  <c r="BU98" i="1"/>
  <c r="Q8" i="11" s="1"/>
  <c r="BV98" i="1"/>
  <c r="BW98" i="1"/>
  <c r="BX98" i="1"/>
  <c r="B8" i="12" s="1"/>
  <c r="BY98" i="1"/>
  <c r="C8" i="12" s="1"/>
  <c r="BZ98" i="1"/>
  <c r="D8" i="12" s="1"/>
  <c r="CA98" i="1"/>
  <c r="E8" i="12" s="1"/>
  <c r="CB98" i="1"/>
  <c r="F8" i="12" s="1"/>
  <c r="CC98" i="1"/>
  <c r="G8" i="12" s="1"/>
  <c r="CD98" i="1"/>
  <c r="H8" i="12" s="1"/>
  <c r="CE98" i="1"/>
  <c r="I8" i="12" s="1"/>
  <c r="CF98" i="1"/>
  <c r="J8" i="12" s="1"/>
  <c r="CG98" i="1"/>
  <c r="K8" i="12" s="1"/>
  <c r="CH98" i="1"/>
  <c r="L8" i="12" s="1"/>
  <c r="CI98" i="1"/>
  <c r="M8" i="12" s="1"/>
  <c r="CJ98" i="1"/>
  <c r="N8" i="12" s="1"/>
  <c r="CK98" i="1"/>
  <c r="O8" i="12" s="1"/>
  <c r="CL98" i="1"/>
  <c r="P8" i="12" s="1"/>
  <c r="CM98" i="1"/>
  <c r="Q8" i="12" s="1"/>
  <c r="CN98" i="1"/>
  <c r="CO98" i="1"/>
  <c r="CP98" i="1"/>
  <c r="B8" i="13" s="1"/>
  <c r="CQ98" i="1"/>
  <c r="C8" i="13" s="1"/>
  <c r="CR98" i="1"/>
  <c r="D8" i="13" s="1"/>
  <c r="CS98" i="1"/>
  <c r="E8" i="13" s="1"/>
  <c r="CT98" i="1"/>
  <c r="F8" i="13" s="1"/>
  <c r="CU98" i="1"/>
  <c r="G8" i="13" s="1"/>
  <c r="CV98" i="1"/>
  <c r="H8" i="13" s="1"/>
  <c r="CW98" i="1"/>
  <c r="I8" i="13" s="1"/>
  <c r="CX98" i="1"/>
  <c r="J8" i="13" s="1"/>
  <c r="CY98" i="1"/>
  <c r="K8" i="13" s="1"/>
  <c r="CZ98" i="1"/>
  <c r="L8" i="13" s="1"/>
  <c r="DA98" i="1"/>
  <c r="M8" i="13" s="1"/>
  <c r="DB98" i="1"/>
  <c r="N8" i="13" s="1"/>
  <c r="DC98" i="1"/>
  <c r="O8" i="13" s="1"/>
  <c r="DD98" i="1"/>
  <c r="P8" i="13" s="1"/>
  <c r="DE98" i="1"/>
  <c r="Q8" i="13" s="1"/>
  <c r="DH98" i="1"/>
  <c r="B8" i="14" s="1"/>
  <c r="DI98" i="1"/>
  <c r="C8" i="14" s="1"/>
  <c r="DJ98" i="1"/>
  <c r="D8" i="14" s="1"/>
  <c r="DK98" i="1"/>
  <c r="E8" i="14" s="1"/>
  <c r="DL98" i="1"/>
  <c r="F8" i="14" s="1"/>
  <c r="DM98" i="1"/>
  <c r="G8" i="14" s="1"/>
  <c r="DN98" i="1"/>
  <c r="H8" i="14" s="1"/>
  <c r="DO98" i="1"/>
  <c r="I8" i="14" s="1"/>
  <c r="DP98" i="1"/>
  <c r="J8" i="14" s="1"/>
  <c r="DQ98" i="1"/>
  <c r="K8" i="14" s="1"/>
  <c r="DR98" i="1"/>
  <c r="L8" i="14" s="1"/>
  <c r="DS98" i="1"/>
  <c r="M8" i="14" s="1"/>
  <c r="DT98" i="1"/>
  <c r="N8" i="14" s="1"/>
  <c r="DU98" i="1"/>
  <c r="O8" i="14" s="1"/>
  <c r="DV98" i="1"/>
  <c r="P8" i="14" s="1"/>
  <c r="DW98" i="1"/>
  <c r="Q8" i="14" s="1"/>
  <c r="CN93" i="1"/>
  <c r="CO93" i="1"/>
  <c r="CP93" i="1"/>
  <c r="B8" i="5" s="1"/>
  <c r="G9" i="2" s="1"/>
  <c r="CQ93" i="1"/>
  <c r="C8" i="5" s="1"/>
  <c r="H9" i="2" s="1"/>
  <c r="CR93" i="1"/>
  <c r="D8" i="5" s="1"/>
  <c r="I9" i="2" s="1"/>
  <c r="CS93" i="1"/>
  <c r="E8" i="5" s="1"/>
  <c r="J9" i="2" s="1"/>
  <c r="CT93" i="1"/>
  <c r="F8" i="5" s="1"/>
  <c r="K9" i="2" s="1"/>
  <c r="CU93" i="1"/>
  <c r="G8" i="5" s="1"/>
  <c r="L9" i="2" s="1"/>
  <c r="CV93" i="1"/>
  <c r="H8" i="5" s="1"/>
  <c r="M9" i="2" s="1"/>
  <c r="CW93" i="1"/>
  <c r="I8" i="5" s="1"/>
  <c r="N9" i="2" s="1"/>
  <c r="CX93" i="1"/>
  <c r="J8" i="5" s="1"/>
  <c r="O9" i="2" s="1"/>
  <c r="CY93" i="1"/>
  <c r="K8" i="5" s="1"/>
  <c r="P9" i="2" s="1"/>
  <c r="CZ93" i="1"/>
  <c r="L8" i="5" s="1"/>
  <c r="Q9" i="2" s="1"/>
  <c r="DA93" i="1"/>
  <c r="M8" i="5" s="1"/>
  <c r="R9" i="2" s="1"/>
  <c r="DB93" i="1"/>
  <c r="N8" i="5" s="1"/>
  <c r="S9" i="2" s="1"/>
  <c r="DC93" i="1"/>
  <c r="O8" i="5" s="1"/>
  <c r="T9" i="2" s="1"/>
  <c r="DD93" i="1"/>
  <c r="P8" i="5" s="1"/>
  <c r="U9" i="2" s="1"/>
  <c r="DE93" i="1"/>
  <c r="Q8" i="5" s="1"/>
  <c r="V9" i="2" s="1"/>
  <c r="DH93" i="1"/>
  <c r="B9" i="5" s="1"/>
  <c r="G10" i="2" s="1"/>
  <c r="DI93" i="1"/>
  <c r="C9" i="5" s="1"/>
  <c r="H10" i="2" s="1"/>
  <c r="DJ93" i="1"/>
  <c r="D9" i="5" s="1"/>
  <c r="I10" i="2" s="1"/>
  <c r="DK93" i="1"/>
  <c r="E9" i="5" s="1"/>
  <c r="J10" i="2" s="1"/>
  <c r="DL93" i="1"/>
  <c r="F9" i="5" s="1"/>
  <c r="K10" i="2" s="1"/>
  <c r="DM93" i="1"/>
  <c r="G9" i="5" s="1"/>
  <c r="L10" i="2" s="1"/>
  <c r="DN93" i="1"/>
  <c r="H9" i="5" s="1"/>
  <c r="M10" i="2" s="1"/>
  <c r="DO93" i="1"/>
  <c r="I9" i="5" s="1"/>
  <c r="N10" i="2" s="1"/>
  <c r="DP93" i="1"/>
  <c r="J9" i="5" s="1"/>
  <c r="O10" i="2" s="1"/>
  <c r="DQ93" i="1"/>
  <c r="K9" i="5" s="1"/>
  <c r="P10" i="2" s="1"/>
  <c r="DR93" i="1"/>
  <c r="L9" i="5" s="1"/>
  <c r="Q10" i="2" s="1"/>
  <c r="DS93" i="1"/>
  <c r="M9" i="5" s="1"/>
  <c r="R10" i="2" s="1"/>
  <c r="DT93" i="1"/>
  <c r="N9" i="5" s="1"/>
  <c r="S10" i="2" s="1"/>
  <c r="DU93" i="1"/>
  <c r="O9" i="5" s="1"/>
  <c r="T10" i="2" s="1"/>
  <c r="DV93" i="1"/>
  <c r="P9" i="5" s="1"/>
  <c r="U10" i="2" s="1"/>
  <c r="DW93" i="1"/>
  <c r="Q9" i="5" s="1"/>
  <c r="V10" i="2" s="1"/>
  <c r="DX93" i="1"/>
  <c r="DW97" i="1"/>
  <c r="Q7" i="14" s="1"/>
  <c r="DV97" i="1"/>
  <c r="P7" i="14" s="1"/>
  <c r="DU97" i="1"/>
  <c r="O7" i="14" s="1"/>
  <c r="DT97" i="1"/>
  <c r="N7" i="14" s="1"/>
  <c r="DS97" i="1"/>
  <c r="M7" i="14" s="1"/>
  <c r="DR97" i="1"/>
  <c r="L7" i="14" s="1"/>
  <c r="DQ97" i="1"/>
  <c r="K7" i="14" s="1"/>
  <c r="DP97" i="1"/>
  <c r="J7" i="14" s="1"/>
  <c r="DO97" i="1"/>
  <c r="I7" i="14" s="1"/>
  <c r="DN97" i="1"/>
  <c r="H7" i="14" s="1"/>
  <c r="DM97" i="1"/>
  <c r="G7" i="14" s="1"/>
  <c r="DL97" i="1"/>
  <c r="F7" i="14" s="1"/>
  <c r="DK97" i="1"/>
  <c r="E7" i="14" s="1"/>
  <c r="DJ97" i="1"/>
  <c r="D7" i="14" s="1"/>
  <c r="DI97" i="1"/>
  <c r="C7" i="14" s="1"/>
  <c r="DH97" i="1"/>
  <c r="B7" i="14" s="1"/>
  <c r="DE97" i="1"/>
  <c r="Q7" i="13" s="1"/>
  <c r="DD97" i="1"/>
  <c r="P7" i="13" s="1"/>
  <c r="DC97" i="1"/>
  <c r="O7" i="13" s="1"/>
  <c r="DB97" i="1"/>
  <c r="N7" i="13" s="1"/>
  <c r="DA97" i="1"/>
  <c r="M7" i="13" s="1"/>
  <c r="CZ97" i="1"/>
  <c r="L7" i="13" s="1"/>
  <c r="CY97" i="1"/>
  <c r="K7" i="13" s="1"/>
  <c r="CX97" i="1"/>
  <c r="J7" i="13" s="1"/>
  <c r="CW97" i="1"/>
  <c r="I7" i="13" s="1"/>
  <c r="CV97" i="1"/>
  <c r="H7" i="13" s="1"/>
  <c r="CU97" i="1"/>
  <c r="G7" i="13" s="1"/>
  <c r="CT97" i="1"/>
  <c r="F7" i="13" s="1"/>
  <c r="CS97" i="1"/>
  <c r="E7" i="13" s="1"/>
  <c r="CR97" i="1"/>
  <c r="D7" i="13" s="1"/>
  <c r="CQ97" i="1"/>
  <c r="C7" i="13" s="1"/>
  <c r="CP97" i="1"/>
  <c r="B7" i="13" s="1"/>
  <c r="CO97" i="1"/>
  <c r="CN97" i="1"/>
  <c r="DW96" i="1"/>
  <c r="Q6" i="14" s="1"/>
  <c r="DV96" i="1"/>
  <c r="P6" i="14" s="1"/>
  <c r="DU96" i="1"/>
  <c r="O6" i="14" s="1"/>
  <c r="DT96" i="1"/>
  <c r="N6" i="14" s="1"/>
  <c r="DS96" i="1"/>
  <c r="M6" i="14" s="1"/>
  <c r="DR96" i="1"/>
  <c r="L6" i="14" s="1"/>
  <c r="DQ96" i="1"/>
  <c r="K6" i="14" s="1"/>
  <c r="DP96" i="1"/>
  <c r="J6" i="14" s="1"/>
  <c r="DO96" i="1"/>
  <c r="I6" i="14" s="1"/>
  <c r="DN96" i="1"/>
  <c r="H6" i="14" s="1"/>
  <c r="DM96" i="1"/>
  <c r="G6" i="14" s="1"/>
  <c r="DL96" i="1"/>
  <c r="F6" i="14" s="1"/>
  <c r="DK96" i="1"/>
  <c r="E6" i="14" s="1"/>
  <c r="DJ96" i="1"/>
  <c r="D6" i="14" s="1"/>
  <c r="DI96" i="1"/>
  <c r="C6" i="14" s="1"/>
  <c r="DH96" i="1"/>
  <c r="B6" i="14" s="1"/>
  <c r="DE96" i="1"/>
  <c r="Q6" i="13" s="1"/>
  <c r="DD96" i="1"/>
  <c r="P6" i="13" s="1"/>
  <c r="DC96" i="1"/>
  <c r="O6" i="13" s="1"/>
  <c r="DB96" i="1"/>
  <c r="N6" i="13" s="1"/>
  <c r="DA96" i="1"/>
  <c r="M6" i="13" s="1"/>
  <c r="CZ96" i="1"/>
  <c r="L6" i="13" s="1"/>
  <c r="CY96" i="1"/>
  <c r="K6" i="13" s="1"/>
  <c r="CX96" i="1"/>
  <c r="J6" i="13" s="1"/>
  <c r="CW96" i="1"/>
  <c r="I6" i="13" s="1"/>
  <c r="CV96" i="1"/>
  <c r="H6" i="13" s="1"/>
  <c r="CU96" i="1"/>
  <c r="G6" i="13" s="1"/>
  <c r="CT96" i="1"/>
  <c r="F6" i="13" s="1"/>
  <c r="CS96" i="1"/>
  <c r="E6" i="13" s="1"/>
  <c r="CR96" i="1"/>
  <c r="D6" i="13" s="1"/>
  <c r="CQ96" i="1"/>
  <c r="C6" i="13" s="1"/>
  <c r="CP96" i="1"/>
  <c r="B6" i="13" s="1"/>
  <c r="CO96" i="1"/>
  <c r="CN96" i="1"/>
  <c r="DW95" i="1"/>
  <c r="Q5" i="14" s="1"/>
  <c r="DV95" i="1"/>
  <c r="P5" i="14" s="1"/>
  <c r="DU95" i="1"/>
  <c r="O5" i="14" s="1"/>
  <c r="DT95" i="1"/>
  <c r="N5" i="14" s="1"/>
  <c r="DS95" i="1"/>
  <c r="M5" i="14" s="1"/>
  <c r="DR95" i="1"/>
  <c r="L5" i="14" s="1"/>
  <c r="DQ95" i="1"/>
  <c r="K5" i="14" s="1"/>
  <c r="DP95" i="1"/>
  <c r="J5" i="14" s="1"/>
  <c r="DO95" i="1"/>
  <c r="I5" i="14" s="1"/>
  <c r="DN95" i="1"/>
  <c r="H5" i="14" s="1"/>
  <c r="DM95" i="1"/>
  <c r="G5" i="14" s="1"/>
  <c r="DL95" i="1"/>
  <c r="F5" i="14" s="1"/>
  <c r="DK95" i="1"/>
  <c r="E5" i="14" s="1"/>
  <c r="DJ95" i="1"/>
  <c r="D5" i="14" s="1"/>
  <c r="DI95" i="1"/>
  <c r="C5" i="14" s="1"/>
  <c r="DH95" i="1"/>
  <c r="B5" i="14" s="1"/>
  <c r="DE95" i="1"/>
  <c r="Q5" i="13" s="1"/>
  <c r="DD95" i="1"/>
  <c r="P5" i="13" s="1"/>
  <c r="DC95" i="1"/>
  <c r="O5" i="13" s="1"/>
  <c r="DB95" i="1"/>
  <c r="N5" i="13" s="1"/>
  <c r="DA95" i="1"/>
  <c r="M5" i="13" s="1"/>
  <c r="CZ95" i="1"/>
  <c r="L5" i="13" s="1"/>
  <c r="CY95" i="1"/>
  <c r="K5" i="13" s="1"/>
  <c r="CX95" i="1"/>
  <c r="J5" i="13" s="1"/>
  <c r="CW95" i="1"/>
  <c r="I5" i="13" s="1"/>
  <c r="CV95" i="1"/>
  <c r="H5" i="13" s="1"/>
  <c r="CU95" i="1"/>
  <c r="G5" i="13" s="1"/>
  <c r="CT95" i="1"/>
  <c r="F5" i="13" s="1"/>
  <c r="CS95" i="1"/>
  <c r="E5" i="13" s="1"/>
  <c r="CR95" i="1"/>
  <c r="D5" i="13" s="1"/>
  <c r="CQ95" i="1"/>
  <c r="C5" i="13" s="1"/>
  <c r="CP95" i="1"/>
  <c r="B5" i="13" s="1"/>
  <c r="CO95" i="1"/>
  <c r="CN95" i="1"/>
  <c r="DW94" i="1"/>
  <c r="Q4" i="14" s="1"/>
  <c r="DV94" i="1"/>
  <c r="P4" i="14" s="1"/>
  <c r="DU94" i="1"/>
  <c r="O4" i="14" s="1"/>
  <c r="DT94" i="1"/>
  <c r="N4" i="14" s="1"/>
  <c r="DS94" i="1"/>
  <c r="M4" i="14" s="1"/>
  <c r="DR94" i="1"/>
  <c r="L4" i="14" s="1"/>
  <c r="DQ94" i="1"/>
  <c r="K4" i="14" s="1"/>
  <c r="DP94" i="1"/>
  <c r="J4" i="14" s="1"/>
  <c r="DO94" i="1"/>
  <c r="I4" i="14" s="1"/>
  <c r="DN94" i="1"/>
  <c r="H4" i="14" s="1"/>
  <c r="DM94" i="1"/>
  <c r="G4" i="14" s="1"/>
  <c r="DL94" i="1"/>
  <c r="F4" i="14" s="1"/>
  <c r="DK94" i="1"/>
  <c r="E4" i="14" s="1"/>
  <c r="DJ94" i="1"/>
  <c r="D4" i="14" s="1"/>
  <c r="DI94" i="1"/>
  <c r="C4" i="14" s="1"/>
  <c r="DH94" i="1"/>
  <c r="B4" i="14" s="1"/>
  <c r="DE94" i="1"/>
  <c r="Q4" i="13" s="1"/>
  <c r="DD94" i="1"/>
  <c r="P4" i="13" s="1"/>
  <c r="DC94" i="1"/>
  <c r="O4" i="13" s="1"/>
  <c r="DB94" i="1"/>
  <c r="N4" i="13" s="1"/>
  <c r="DA94" i="1"/>
  <c r="M4" i="13" s="1"/>
  <c r="CZ94" i="1"/>
  <c r="L4" i="13" s="1"/>
  <c r="CY94" i="1"/>
  <c r="K4" i="13" s="1"/>
  <c r="CX94" i="1"/>
  <c r="J4" i="13" s="1"/>
  <c r="CW94" i="1"/>
  <c r="I4" i="13" s="1"/>
  <c r="CV94" i="1"/>
  <c r="H4" i="13" s="1"/>
  <c r="CU94" i="1"/>
  <c r="G4" i="13" s="1"/>
  <c r="CT94" i="1"/>
  <c r="F4" i="13" s="1"/>
  <c r="CS94" i="1"/>
  <c r="E4" i="13" s="1"/>
  <c r="CR94" i="1"/>
  <c r="D4" i="13" s="1"/>
  <c r="CQ94" i="1"/>
  <c r="C4" i="13" s="1"/>
  <c r="CP94" i="1"/>
  <c r="B4" i="13" s="1"/>
  <c r="CO94" i="1"/>
  <c r="CN94" i="1"/>
  <c r="R9" i="5" l="1"/>
  <c r="R8" i="5"/>
  <c r="W10" i="2"/>
  <c r="F5" i="4"/>
  <c r="F9" i="2" s="1"/>
  <c r="F4" i="4"/>
  <c r="E9" i="2" s="1"/>
  <c r="AN93" i="1"/>
  <c r="B5" i="5" s="1"/>
  <c r="AO93" i="1"/>
  <c r="C5" i="5" s="1"/>
  <c r="H6" i="2" s="1"/>
  <c r="AP93" i="1"/>
  <c r="D5" i="5" s="1"/>
  <c r="I6" i="2" s="1"/>
  <c r="AQ93" i="1"/>
  <c r="E5" i="5" s="1"/>
  <c r="J6" i="2" s="1"/>
  <c r="AR93" i="1"/>
  <c r="F5" i="5" s="1"/>
  <c r="K6" i="2" s="1"/>
  <c r="AS93" i="1"/>
  <c r="G5" i="5" s="1"/>
  <c r="L6" i="2" s="1"/>
  <c r="AT93" i="1"/>
  <c r="H5" i="5" s="1"/>
  <c r="M6" i="2" s="1"/>
  <c r="AU93" i="1"/>
  <c r="I5" i="5" s="1"/>
  <c r="N6" i="2" s="1"/>
  <c r="AV93" i="1"/>
  <c r="J5" i="5" s="1"/>
  <c r="O6" i="2" s="1"/>
  <c r="AW93" i="1"/>
  <c r="K5" i="5" s="1"/>
  <c r="P6" i="2" s="1"/>
  <c r="AX93" i="1"/>
  <c r="L5" i="5" s="1"/>
  <c r="Q6" i="2" s="1"/>
  <c r="AY93" i="1"/>
  <c r="M5" i="5" s="1"/>
  <c r="R6" i="2" s="1"/>
  <c r="AZ93" i="1"/>
  <c r="N5" i="5" s="1"/>
  <c r="S6" i="2" s="1"/>
  <c r="BA93" i="1"/>
  <c r="O5" i="5" s="1"/>
  <c r="T6" i="2" s="1"/>
  <c r="BB93" i="1"/>
  <c r="P5" i="5" s="1"/>
  <c r="U6" i="2" s="1"/>
  <c r="BC93" i="1"/>
  <c r="Q5" i="5" s="1"/>
  <c r="V6" i="2" s="1"/>
  <c r="BD93" i="1"/>
  <c r="D4" i="4" s="1"/>
  <c r="E7" i="2" s="1"/>
  <c r="BE93" i="1"/>
  <c r="D5" i="4" s="1"/>
  <c r="F7" i="2" s="1"/>
  <c r="BF93" i="1"/>
  <c r="B6" i="5" s="1"/>
  <c r="BG93" i="1"/>
  <c r="C6" i="5" s="1"/>
  <c r="H7" i="2" s="1"/>
  <c r="BH93" i="1"/>
  <c r="D6" i="5" s="1"/>
  <c r="I7" i="2" s="1"/>
  <c r="BI93" i="1"/>
  <c r="E6" i="5" s="1"/>
  <c r="J7" i="2" s="1"/>
  <c r="BJ93" i="1"/>
  <c r="F6" i="5" s="1"/>
  <c r="K7" i="2" s="1"/>
  <c r="BK93" i="1"/>
  <c r="G6" i="5" s="1"/>
  <c r="L7" i="2" s="1"/>
  <c r="BL93" i="1"/>
  <c r="H6" i="5" s="1"/>
  <c r="M7" i="2" s="1"/>
  <c r="BM93" i="1"/>
  <c r="I6" i="5" s="1"/>
  <c r="N7" i="2" s="1"/>
  <c r="BN93" i="1"/>
  <c r="J6" i="5" s="1"/>
  <c r="O7" i="2" s="1"/>
  <c r="BO93" i="1"/>
  <c r="K6" i="5" s="1"/>
  <c r="P7" i="2" s="1"/>
  <c r="BP93" i="1"/>
  <c r="L6" i="5" s="1"/>
  <c r="Q7" i="2" s="1"/>
  <c r="BQ93" i="1"/>
  <c r="M6" i="5" s="1"/>
  <c r="R7" i="2" s="1"/>
  <c r="BR93" i="1"/>
  <c r="N6" i="5" s="1"/>
  <c r="S7" i="2" s="1"/>
  <c r="BS93" i="1"/>
  <c r="O6" i="5" s="1"/>
  <c r="T7" i="2" s="1"/>
  <c r="BT93" i="1"/>
  <c r="P6" i="5" s="1"/>
  <c r="U7" i="2" s="1"/>
  <c r="BU93" i="1"/>
  <c r="Q6" i="5" s="1"/>
  <c r="V7" i="2" s="1"/>
  <c r="BV93" i="1"/>
  <c r="E4" i="4" s="1"/>
  <c r="E8" i="2" s="1"/>
  <c r="BW93" i="1"/>
  <c r="E5" i="4" s="1"/>
  <c r="F8" i="2" s="1"/>
  <c r="BX93" i="1"/>
  <c r="B7" i="5" s="1"/>
  <c r="BY93" i="1"/>
  <c r="C7" i="5" s="1"/>
  <c r="H8" i="2" s="1"/>
  <c r="BZ93" i="1"/>
  <c r="D7" i="5" s="1"/>
  <c r="I8" i="2" s="1"/>
  <c r="CA93" i="1"/>
  <c r="E7" i="5" s="1"/>
  <c r="J8" i="2" s="1"/>
  <c r="CB93" i="1"/>
  <c r="F7" i="5" s="1"/>
  <c r="K8" i="2" s="1"/>
  <c r="CC93" i="1"/>
  <c r="G7" i="5" s="1"/>
  <c r="L8" i="2" s="1"/>
  <c r="CD93" i="1"/>
  <c r="H7" i="5" s="1"/>
  <c r="M8" i="2" s="1"/>
  <c r="CE93" i="1"/>
  <c r="I7" i="5" s="1"/>
  <c r="N8" i="2" s="1"/>
  <c r="CF93" i="1"/>
  <c r="J7" i="5" s="1"/>
  <c r="O8" i="2" s="1"/>
  <c r="CG93" i="1"/>
  <c r="K7" i="5" s="1"/>
  <c r="P8" i="2" s="1"/>
  <c r="CH93" i="1"/>
  <c r="L7" i="5" s="1"/>
  <c r="Q8" i="2" s="1"/>
  <c r="CI93" i="1"/>
  <c r="M7" i="5" s="1"/>
  <c r="R8" i="2" s="1"/>
  <c r="CJ93" i="1"/>
  <c r="N7" i="5" s="1"/>
  <c r="S8" i="2" s="1"/>
  <c r="CK93" i="1"/>
  <c r="O7" i="5" s="1"/>
  <c r="T8" i="2" s="1"/>
  <c r="CL93" i="1"/>
  <c r="P7" i="5" s="1"/>
  <c r="U8" i="2" s="1"/>
  <c r="CM93" i="1"/>
  <c r="Q7" i="5" s="1"/>
  <c r="V8" i="2" s="1"/>
  <c r="O97" i="1"/>
  <c r="C7" i="3" s="1"/>
  <c r="P97" i="1"/>
  <c r="D7" i="3" s="1"/>
  <c r="Q97" i="1"/>
  <c r="E7" i="3" s="1"/>
  <c r="R97" i="1"/>
  <c r="F7" i="3" s="1"/>
  <c r="S97" i="1"/>
  <c r="G7" i="3" s="1"/>
  <c r="T97" i="1"/>
  <c r="U97" i="1"/>
  <c r="V97" i="1"/>
  <c r="B7" i="6" s="1"/>
  <c r="W97" i="1"/>
  <c r="C7" i="6" s="1"/>
  <c r="X97" i="1"/>
  <c r="D7" i="6" s="1"/>
  <c r="Y97" i="1"/>
  <c r="E7" i="6" s="1"/>
  <c r="Z97" i="1"/>
  <c r="F7" i="6" s="1"/>
  <c r="AA97" i="1"/>
  <c r="G7" i="6" s="1"/>
  <c r="AB97" i="1"/>
  <c r="H7" i="6" s="1"/>
  <c r="AC97" i="1"/>
  <c r="I7" i="6" s="1"/>
  <c r="AD97" i="1"/>
  <c r="J7" i="6" s="1"/>
  <c r="AE97" i="1"/>
  <c r="K7" i="6" s="1"/>
  <c r="AF97" i="1"/>
  <c r="L7" i="6" s="1"/>
  <c r="AG97" i="1"/>
  <c r="M7" i="6" s="1"/>
  <c r="AH97" i="1"/>
  <c r="N7" i="6" s="1"/>
  <c r="AI97" i="1"/>
  <c r="O7" i="6" s="1"/>
  <c r="AJ97" i="1"/>
  <c r="P7" i="6" s="1"/>
  <c r="AK97" i="1"/>
  <c r="Q7" i="6" s="1"/>
  <c r="AL97" i="1"/>
  <c r="AM97" i="1"/>
  <c r="AN97" i="1"/>
  <c r="B7" i="10" s="1"/>
  <c r="AO97" i="1"/>
  <c r="C7" i="10" s="1"/>
  <c r="AP97" i="1"/>
  <c r="D7" i="10" s="1"/>
  <c r="AQ97" i="1"/>
  <c r="E7" i="10" s="1"/>
  <c r="AR97" i="1"/>
  <c r="F7" i="10" s="1"/>
  <c r="AS97" i="1"/>
  <c r="G7" i="10" s="1"/>
  <c r="AT97" i="1"/>
  <c r="H7" i="10" s="1"/>
  <c r="AU97" i="1"/>
  <c r="I7" i="10" s="1"/>
  <c r="AV97" i="1"/>
  <c r="J7" i="10" s="1"/>
  <c r="AW97" i="1"/>
  <c r="K7" i="10" s="1"/>
  <c r="AX97" i="1"/>
  <c r="L7" i="10" s="1"/>
  <c r="AY97" i="1"/>
  <c r="M7" i="10" s="1"/>
  <c r="AZ97" i="1"/>
  <c r="N7" i="10" s="1"/>
  <c r="BA97" i="1"/>
  <c r="O7" i="10" s="1"/>
  <c r="BB97" i="1"/>
  <c r="P7" i="10" s="1"/>
  <c r="BC97" i="1"/>
  <c r="Q7" i="10" s="1"/>
  <c r="BD97" i="1"/>
  <c r="BE97" i="1"/>
  <c r="BF97" i="1"/>
  <c r="B7" i="11" s="1"/>
  <c r="BG97" i="1"/>
  <c r="C7" i="11" s="1"/>
  <c r="BH97" i="1"/>
  <c r="D7" i="11" s="1"/>
  <c r="BI97" i="1"/>
  <c r="E7" i="11" s="1"/>
  <c r="BJ97" i="1"/>
  <c r="F7" i="11" s="1"/>
  <c r="BK97" i="1"/>
  <c r="G7" i="11" s="1"/>
  <c r="BL97" i="1"/>
  <c r="H7" i="11" s="1"/>
  <c r="BM97" i="1"/>
  <c r="I7" i="11" s="1"/>
  <c r="BN97" i="1"/>
  <c r="J7" i="11" s="1"/>
  <c r="BO97" i="1"/>
  <c r="K7" i="11" s="1"/>
  <c r="BP97" i="1"/>
  <c r="L7" i="11" s="1"/>
  <c r="BQ97" i="1"/>
  <c r="M7" i="11" s="1"/>
  <c r="BR97" i="1"/>
  <c r="N7" i="11" s="1"/>
  <c r="BS97" i="1"/>
  <c r="O7" i="11" s="1"/>
  <c r="BT97" i="1"/>
  <c r="P7" i="11" s="1"/>
  <c r="BU97" i="1"/>
  <c r="Q7" i="11" s="1"/>
  <c r="BV97" i="1"/>
  <c r="BW97" i="1"/>
  <c r="BX97" i="1"/>
  <c r="B7" i="12" s="1"/>
  <c r="BY97" i="1"/>
  <c r="C7" i="12" s="1"/>
  <c r="BZ97" i="1"/>
  <c r="D7" i="12" s="1"/>
  <c r="CA97" i="1"/>
  <c r="E7" i="12" s="1"/>
  <c r="CB97" i="1"/>
  <c r="F7" i="12" s="1"/>
  <c r="CC97" i="1"/>
  <c r="G7" i="12" s="1"/>
  <c r="CD97" i="1"/>
  <c r="H7" i="12" s="1"/>
  <c r="CE97" i="1"/>
  <c r="I7" i="12" s="1"/>
  <c r="CF97" i="1"/>
  <c r="J7" i="12" s="1"/>
  <c r="CG97" i="1"/>
  <c r="K7" i="12" s="1"/>
  <c r="CH97" i="1"/>
  <c r="L7" i="12" s="1"/>
  <c r="CI97" i="1"/>
  <c r="M7" i="12" s="1"/>
  <c r="CJ97" i="1"/>
  <c r="N7" i="12" s="1"/>
  <c r="CK97" i="1"/>
  <c r="O7" i="12" s="1"/>
  <c r="CL97" i="1"/>
  <c r="P7" i="12" s="1"/>
  <c r="CM97" i="1"/>
  <c r="Q7" i="12" s="1"/>
  <c r="N97" i="1"/>
  <c r="B7" i="3" s="1"/>
  <c r="O96" i="1"/>
  <c r="C6" i="3" s="1"/>
  <c r="P96" i="1"/>
  <c r="D6" i="3" s="1"/>
  <c r="Q96" i="1"/>
  <c r="E6" i="3" s="1"/>
  <c r="R96" i="1"/>
  <c r="F6" i="3" s="1"/>
  <c r="S96" i="1"/>
  <c r="G6" i="3" s="1"/>
  <c r="T96" i="1"/>
  <c r="U96" i="1"/>
  <c r="V96" i="1"/>
  <c r="B6" i="6" s="1"/>
  <c r="W96" i="1"/>
  <c r="C6" i="6" s="1"/>
  <c r="X96" i="1"/>
  <c r="D6" i="6" s="1"/>
  <c r="Y96" i="1"/>
  <c r="E6" i="6" s="1"/>
  <c r="Z96" i="1"/>
  <c r="F6" i="6" s="1"/>
  <c r="AA96" i="1"/>
  <c r="G6" i="6" s="1"/>
  <c r="AB96" i="1"/>
  <c r="H6" i="6" s="1"/>
  <c r="AC96" i="1"/>
  <c r="I6" i="6" s="1"/>
  <c r="AD96" i="1"/>
  <c r="J6" i="6" s="1"/>
  <c r="AE96" i="1"/>
  <c r="K6" i="6" s="1"/>
  <c r="AF96" i="1"/>
  <c r="L6" i="6" s="1"/>
  <c r="AG96" i="1"/>
  <c r="M6" i="6" s="1"/>
  <c r="AH96" i="1"/>
  <c r="N6" i="6" s="1"/>
  <c r="AI96" i="1"/>
  <c r="O6" i="6" s="1"/>
  <c r="AJ96" i="1"/>
  <c r="P6" i="6" s="1"/>
  <c r="AK96" i="1"/>
  <c r="Q6" i="6" s="1"/>
  <c r="AL96" i="1"/>
  <c r="AM96" i="1"/>
  <c r="AN96" i="1"/>
  <c r="B6" i="10" s="1"/>
  <c r="AO96" i="1"/>
  <c r="C6" i="10" s="1"/>
  <c r="AP96" i="1"/>
  <c r="D6" i="10" s="1"/>
  <c r="AQ96" i="1"/>
  <c r="E6" i="10" s="1"/>
  <c r="AR96" i="1"/>
  <c r="F6" i="10" s="1"/>
  <c r="AS96" i="1"/>
  <c r="G6" i="10" s="1"/>
  <c r="AT96" i="1"/>
  <c r="H6" i="10" s="1"/>
  <c r="AU96" i="1"/>
  <c r="I6" i="10" s="1"/>
  <c r="AV96" i="1"/>
  <c r="J6" i="10" s="1"/>
  <c r="AW96" i="1"/>
  <c r="K6" i="10" s="1"/>
  <c r="AX96" i="1"/>
  <c r="L6" i="10" s="1"/>
  <c r="AY96" i="1"/>
  <c r="M6" i="10" s="1"/>
  <c r="AZ96" i="1"/>
  <c r="N6" i="10" s="1"/>
  <c r="BA96" i="1"/>
  <c r="O6" i="10" s="1"/>
  <c r="BB96" i="1"/>
  <c r="P6" i="10" s="1"/>
  <c r="BC96" i="1"/>
  <c r="Q6" i="10" s="1"/>
  <c r="BD96" i="1"/>
  <c r="BE96" i="1"/>
  <c r="BF96" i="1"/>
  <c r="B6" i="11" s="1"/>
  <c r="BG96" i="1"/>
  <c r="C6" i="11" s="1"/>
  <c r="BH96" i="1"/>
  <c r="D6" i="11" s="1"/>
  <c r="BI96" i="1"/>
  <c r="E6" i="11" s="1"/>
  <c r="BJ96" i="1"/>
  <c r="F6" i="11" s="1"/>
  <c r="BK96" i="1"/>
  <c r="G6" i="11" s="1"/>
  <c r="BL96" i="1"/>
  <c r="H6" i="11" s="1"/>
  <c r="BM96" i="1"/>
  <c r="I6" i="11" s="1"/>
  <c r="BN96" i="1"/>
  <c r="J6" i="11" s="1"/>
  <c r="BO96" i="1"/>
  <c r="K6" i="11" s="1"/>
  <c r="BP96" i="1"/>
  <c r="L6" i="11" s="1"/>
  <c r="BQ96" i="1"/>
  <c r="M6" i="11" s="1"/>
  <c r="BR96" i="1"/>
  <c r="N6" i="11" s="1"/>
  <c r="BS96" i="1"/>
  <c r="O6" i="11" s="1"/>
  <c r="BT96" i="1"/>
  <c r="P6" i="11" s="1"/>
  <c r="BU96" i="1"/>
  <c r="Q6" i="11" s="1"/>
  <c r="BV96" i="1"/>
  <c r="BW96" i="1"/>
  <c r="BX96" i="1"/>
  <c r="B6" i="12" s="1"/>
  <c r="BY96" i="1"/>
  <c r="C6" i="12" s="1"/>
  <c r="BZ96" i="1"/>
  <c r="D6" i="12" s="1"/>
  <c r="CA96" i="1"/>
  <c r="E6" i="12" s="1"/>
  <c r="CB96" i="1"/>
  <c r="F6" i="12" s="1"/>
  <c r="CC96" i="1"/>
  <c r="G6" i="12" s="1"/>
  <c r="CD96" i="1"/>
  <c r="H6" i="12" s="1"/>
  <c r="CE96" i="1"/>
  <c r="I6" i="12" s="1"/>
  <c r="CF96" i="1"/>
  <c r="J6" i="12" s="1"/>
  <c r="CG96" i="1"/>
  <c r="K6" i="12" s="1"/>
  <c r="CH96" i="1"/>
  <c r="L6" i="12" s="1"/>
  <c r="CI96" i="1"/>
  <c r="M6" i="12" s="1"/>
  <c r="CJ96" i="1"/>
  <c r="N6" i="12" s="1"/>
  <c r="CK96" i="1"/>
  <c r="O6" i="12" s="1"/>
  <c r="CL96" i="1"/>
  <c r="P6" i="12" s="1"/>
  <c r="CM96" i="1"/>
  <c r="Q6" i="12" s="1"/>
  <c r="N96" i="1"/>
  <c r="B6" i="3" s="1"/>
  <c r="O95" i="1"/>
  <c r="C5" i="3" s="1"/>
  <c r="P95" i="1"/>
  <c r="D5" i="3" s="1"/>
  <c r="Q95" i="1"/>
  <c r="E5" i="3" s="1"/>
  <c r="R95" i="1"/>
  <c r="F5" i="3" s="1"/>
  <c r="S95" i="1"/>
  <c r="G5" i="3" s="1"/>
  <c r="T95" i="1"/>
  <c r="U95" i="1"/>
  <c r="V95" i="1"/>
  <c r="B5" i="6" s="1"/>
  <c r="W95" i="1"/>
  <c r="C5" i="6" s="1"/>
  <c r="X95" i="1"/>
  <c r="D5" i="6" s="1"/>
  <c r="Y95" i="1"/>
  <c r="E5" i="6" s="1"/>
  <c r="Z95" i="1"/>
  <c r="F5" i="6" s="1"/>
  <c r="AA95" i="1"/>
  <c r="G5" i="6" s="1"/>
  <c r="AB95" i="1"/>
  <c r="H5" i="6" s="1"/>
  <c r="AC95" i="1"/>
  <c r="I5" i="6" s="1"/>
  <c r="AD95" i="1"/>
  <c r="J5" i="6" s="1"/>
  <c r="AE95" i="1"/>
  <c r="K5" i="6" s="1"/>
  <c r="AF95" i="1"/>
  <c r="L5" i="6" s="1"/>
  <c r="AG95" i="1"/>
  <c r="M5" i="6" s="1"/>
  <c r="AH95" i="1"/>
  <c r="N5" i="6" s="1"/>
  <c r="AI95" i="1"/>
  <c r="O5" i="6" s="1"/>
  <c r="AJ95" i="1"/>
  <c r="P5" i="6" s="1"/>
  <c r="AK95" i="1"/>
  <c r="Q5" i="6" s="1"/>
  <c r="AL95" i="1"/>
  <c r="AM95" i="1"/>
  <c r="AN95" i="1"/>
  <c r="B5" i="10" s="1"/>
  <c r="AO95" i="1"/>
  <c r="C5" i="10" s="1"/>
  <c r="AP95" i="1"/>
  <c r="D5" i="10" s="1"/>
  <c r="AQ95" i="1"/>
  <c r="E5" i="10" s="1"/>
  <c r="AR95" i="1"/>
  <c r="F5" i="10" s="1"/>
  <c r="AS95" i="1"/>
  <c r="G5" i="10" s="1"/>
  <c r="AT95" i="1"/>
  <c r="H5" i="10" s="1"/>
  <c r="AU95" i="1"/>
  <c r="I5" i="10" s="1"/>
  <c r="AV95" i="1"/>
  <c r="J5" i="10" s="1"/>
  <c r="AW95" i="1"/>
  <c r="K5" i="10" s="1"/>
  <c r="AX95" i="1"/>
  <c r="L5" i="10" s="1"/>
  <c r="AY95" i="1"/>
  <c r="M5" i="10" s="1"/>
  <c r="AZ95" i="1"/>
  <c r="N5" i="10" s="1"/>
  <c r="BA95" i="1"/>
  <c r="O5" i="10" s="1"/>
  <c r="BB95" i="1"/>
  <c r="P5" i="10" s="1"/>
  <c r="BC95" i="1"/>
  <c r="Q5" i="10" s="1"/>
  <c r="BD95" i="1"/>
  <c r="BE95" i="1"/>
  <c r="BF95" i="1"/>
  <c r="B5" i="11" s="1"/>
  <c r="BG95" i="1"/>
  <c r="C5" i="11" s="1"/>
  <c r="BH95" i="1"/>
  <c r="D5" i="11" s="1"/>
  <c r="BI95" i="1"/>
  <c r="E5" i="11" s="1"/>
  <c r="BJ95" i="1"/>
  <c r="F5" i="11" s="1"/>
  <c r="BK95" i="1"/>
  <c r="G5" i="11" s="1"/>
  <c r="BL95" i="1"/>
  <c r="H5" i="11" s="1"/>
  <c r="BM95" i="1"/>
  <c r="I5" i="11" s="1"/>
  <c r="BN95" i="1"/>
  <c r="J5" i="11" s="1"/>
  <c r="BO95" i="1"/>
  <c r="K5" i="11" s="1"/>
  <c r="BP95" i="1"/>
  <c r="L5" i="11" s="1"/>
  <c r="BQ95" i="1"/>
  <c r="M5" i="11" s="1"/>
  <c r="BR95" i="1"/>
  <c r="N5" i="11" s="1"/>
  <c r="BS95" i="1"/>
  <c r="O5" i="11" s="1"/>
  <c r="BT95" i="1"/>
  <c r="P5" i="11" s="1"/>
  <c r="BU95" i="1"/>
  <c r="Q5" i="11" s="1"/>
  <c r="BV95" i="1"/>
  <c r="BW95" i="1"/>
  <c r="BX95" i="1"/>
  <c r="B5" i="12" s="1"/>
  <c r="BY95" i="1"/>
  <c r="C5" i="12" s="1"/>
  <c r="BZ95" i="1"/>
  <c r="D5" i="12" s="1"/>
  <c r="CA95" i="1"/>
  <c r="E5" i="12" s="1"/>
  <c r="CB95" i="1"/>
  <c r="F5" i="12" s="1"/>
  <c r="CC95" i="1"/>
  <c r="G5" i="12" s="1"/>
  <c r="CD95" i="1"/>
  <c r="H5" i="12" s="1"/>
  <c r="CE95" i="1"/>
  <c r="I5" i="12" s="1"/>
  <c r="CF95" i="1"/>
  <c r="J5" i="12" s="1"/>
  <c r="CG95" i="1"/>
  <c r="K5" i="12" s="1"/>
  <c r="CH95" i="1"/>
  <c r="L5" i="12" s="1"/>
  <c r="CI95" i="1"/>
  <c r="M5" i="12" s="1"/>
  <c r="CJ95" i="1"/>
  <c r="N5" i="12" s="1"/>
  <c r="CK95" i="1"/>
  <c r="O5" i="12" s="1"/>
  <c r="CL95" i="1"/>
  <c r="P5" i="12" s="1"/>
  <c r="CM95" i="1"/>
  <c r="Q5" i="12" s="1"/>
  <c r="P94" i="1"/>
  <c r="D4" i="3" s="1"/>
  <c r="D11" i="3" s="1"/>
  <c r="Q94" i="1"/>
  <c r="E4" i="3" s="1"/>
  <c r="R94" i="1"/>
  <c r="F4" i="3" s="1"/>
  <c r="S94" i="1"/>
  <c r="G4" i="3" s="1"/>
  <c r="T94" i="1"/>
  <c r="U94" i="1"/>
  <c r="V94" i="1"/>
  <c r="B4" i="6" s="1"/>
  <c r="W94" i="1"/>
  <c r="C4" i="6" s="1"/>
  <c r="X94" i="1"/>
  <c r="D4" i="6" s="1"/>
  <c r="Y94" i="1"/>
  <c r="E4" i="6" s="1"/>
  <c r="Z94" i="1"/>
  <c r="F4" i="6" s="1"/>
  <c r="AA94" i="1"/>
  <c r="G4" i="6" s="1"/>
  <c r="AB94" i="1"/>
  <c r="H4" i="6" s="1"/>
  <c r="AC94" i="1"/>
  <c r="I4" i="6" s="1"/>
  <c r="AD94" i="1"/>
  <c r="J4" i="6" s="1"/>
  <c r="AE94" i="1"/>
  <c r="K4" i="6" s="1"/>
  <c r="AF94" i="1"/>
  <c r="L4" i="6" s="1"/>
  <c r="AG94" i="1"/>
  <c r="M4" i="6" s="1"/>
  <c r="AH94" i="1"/>
  <c r="N4" i="6" s="1"/>
  <c r="AI94" i="1"/>
  <c r="O4" i="6" s="1"/>
  <c r="AJ94" i="1"/>
  <c r="P4" i="6" s="1"/>
  <c r="AK94" i="1"/>
  <c r="Q4" i="6" s="1"/>
  <c r="AL94" i="1"/>
  <c r="AM94" i="1"/>
  <c r="AN94" i="1"/>
  <c r="B4" i="10" s="1"/>
  <c r="AO94" i="1"/>
  <c r="C4" i="10" s="1"/>
  <c r="AP94" i="1"/>
  <c r="D4" i="10" s="1"/>
  <c r="AQ94" i="1"/>
  <c r="E4" i="10" s="1"/>
  <c r="AR94" i="1"/>
  <c r="F4" i="10" s="1"/>
  <c r="AS94" i="1"/>
  <c r="G4" i="10" s="1"/>
  <c r="AT94" i="1"/>
  <c r="H4" i="10" s="1"/>
  <c r="AU94" i="1"/>
  <c r="I4" i="10" s="1"/>
  <c r="AV94" i="1"/>
  <c r="J4" i="10" s="1"/>
  <c r="AW94" i="1"/>
  <c r="K4" i="10" s="1"/>
  <c r="AX94" i="1"/>
  <c r="L4" i="10" s="1"/>
  <c r="AY94" i="1"/>
  <c r="M4" i="10" s="1"/>
  <c r="AZ94" i="1"/>
  <c r="N4" i="10" s="1"/>
  <c r="BA94" i="1"/>
  <c r="O4" i="10" s="1"/>
  <c r="BB94" i="1"/>
  <c r="P4" i="10" s="1"/>
  <c r="BC94" i="1"/>
  <c r="Q4" i="10" s="1"/>
  <c r="BD94" i="1"/>
  <c r="BE94" i="1"/>
  <c r="BF94" i="1"/>
  <c r="B4" i="11" s="1"/>
  <c r="BG94" i="1"/>
  <c r="C4" i="11" s="1"/>
  <c r="BH94" i="1"/>
  <c r="D4" i="11" s="1"/>
  <c r="BI94" i="1"/>
  <c r="E4" i="11" s="1"/>
  <c r="BJ94" i="1"/>
  <c r="F4" i="11" s="1"/>
  <c r="BK94" i="1"/>
  <c r="G4" i="11" s="1"/>
  <c r="BL94" i="1"/>
  <c r="H4" i="11" s="1"/>
  <c r="BM94" i="1"/>
  <c r="I4" i="11" s="1"/>
  <c r="BN94" i="1"/>
  <c r="J4" i="11" s="1"/>
  <c r="BO94" i="1"/>
  <c r="K4" i="11" s="1"/>
  <c r="BP94" i="1"/>
  <c r="L4" i="11" s="1"/>
  <c r="BQ94" i="1"/>
  <c r="M4" i="11" s="1"/>
  <c r="BR94" i="1"/>
  <c r="N4" i="11" s="1"/>
  <c r="BS94" i="1"/>
  <c r="O4" i="11" s="1"/>
  <c r="BT94" i="1"/>
  <c r="P4" i="11" s="1"/>
  <c r="BU94" i="1"/>
  <c r="Q4" i="11" s="1"/>
  <c r="BV94" i="1"/>
  <c r="BW94" i="1"/>
  <c r="BX94" i="1"/>
  <c r="B4" i="12" s="1"/>
  <c r="BY94" i="1"/>
  <c r="C4" i="12" s="1"/>
  <c r="BZ94" i="1"/>
  <c r="D4" i="12" s="1"/>
  <c r="CA94" i="1"/>
  <c r="E4" i="12" s="1"/>
  <c r="CB94" i="1"/>
  <c r="F4" i="12" s="1"/>
  <c r="CC94" i="1"/>
  <c r="G4" i="12" s="1"/>
  <c r="CD94" i="1"/>
  <c r="H4" i="12" s="1"/>
  <c r="CE94" i="1"/>
  <c r="I4" i="12" s="1"/>
  <c r="CF94" i="1"/>
  <c r="J4" i="12" s="1"/>
  <c r="CG94" i="1"/>
  <c r="K4" i="12" s="1"/>
  <c r="CH94" i="1"/>
  <c r="L4" i="12" s="1"/>
  <c r="CI94" i="1"/>
  <c r="M4" i="12" s="1"/>
  <c r="CJ94" i="1"/>
  <c r="N4" i="12" s="1"/>
  <c r="CK94" i="1"/>
  <c r="O4" i="12" s="1"/>
  <c r="CL94" i="1"/>
  <c r="P4" i="12" s="1"/>
  <c r="CM94" i="1"/>
  <c r="Q4" i="12" s="1"/>
  <c r="O94" i="1"/>
  <c r="C4" i="3" s="1"/>
  <c r="N94" i="1"/>
  <c r="B4" i="3" s="1"/>
  <c r="N109" i="1"/>
  <c r="N110" i="1"/>
  <c r="N111" i="1"/>
  <c r="N101" i="1"/>
  <c r="N102" i="1"/>
  <c r="N103" i="1"/>
  <c r="N104" i="1"/>
  <c r="N105" i="1"/>
  <c r="N106" i="1"/>
  <c r="N107" i="1"/>
  <c r="N108" i="1"/>
  <c r="N112" i="1"/>
  <c r="N93" i="1"/>
  <c r="F11" i="3" l="1"/>
  <c r="E11" i="3"/>
  <c r="C11" i="3"/>
  <c r="G11" i="3"/>
  <c r="G7" i="2"/>
  <c r="W7" i="2" s="1"/>
  <c r="R6" i="5"/>
  <c r="G8" i="2"/>
  <c r="W8" i="2" s="1"/>
  <c r="R7" i="5"/>
  <c r="G6" i="2"/>
  <c r="R5" i="5"/>
  <c r="W9" i="2"/>
  <c r="K93" i="1"/>
  <c r="L93" i="1"/>
  <c r="M93" i="1"/>
  <c r="O93" i="1"/>
  <c r="P93" i="1"/>
  <c r="Q93" i="1"/>
  <c r="R93" i="1"/>
  <c r="S93" i="1"/>
  <c r="AD93" i="1"/>
  <c r="AH93" i="1"/>
  <c r="AA93" i="1"/>
  <c r="AC93" i="1"/>
  <c r="AI93" i="1"/>
  <c r="AK93" i="1"/>
  <c r="AL93" i="1"/>
  <c r="C4" i="4" s="1"/>
  <c r="E6" i="2" s="1"/>
  <c r="AM93" i="1"/>
  <c r="C5" i="4" s="1"/>
  <c r="F6" i="2" s="1"/>
  <c r="T93" i="1"/>
  <c r="B4" i="4" s="1"/>
  <c r="E5" i="2" s="1"/>
  <c r="U93" i="1"/>
  <c r="B5" i="4" s="1"/>
  <c r="F5" i="2" s="1"/>
  <c r="V93" i="1"/>
  <c r="B4" i="5" s="1"/>
  <c r="W93" i="1"/>
  <c r="X93" i="1"/>
  <c r="Y93" i="1"/>
  <c r="Z93" i="1"/>
  <c r="AE93" i="1"/>
  <c r="AG93" i="1"/>
  <c r="N98" i="1" l="1"/>
  <c r="B8" i="3" s="1"/>
  <c r="B11" i="3" s="1"/>
  <c r="M4" i="5"/>
  <c r="R5" i="2" s="1"/>
  <c r="F4" i="5"/>
  <c r="K5" i="2" s="1"/>
  <c r="G4" i="5"/>
  <c r="L5" i="2" s="1"/>
  <c r="E4" i="5"/>
  <c r="J5" i="2" s="1"/>
  <c r="Q4" i="5"/>
  <c r="V5" i="2" s="1"/>
  <c r="N4" i="5"/>
  <c r="S5" i="2" s="1"/>
  <c r="D4" i="5"/>
  <c r="I5" i="2" s="1"/>
  <c r="O4" i="5"/>
  <c r="T5" i="2" s="1"/>
  <c r="J4" i="5"/>
  <c r="O5" i="2" s="1"/>
  <c r="K4" i="5"/>
  <c r="P5" i="2" s="1"/>
  <c r="C4" i="5"/>
  <c r="H5" i="2" s="1"/>
  <c r="I4" i="5"/>
  <c r="N5" i="2" s="1"/>
  <c r="W6" i="2"/>
  <c r="K94" i="1"/>
  <c r="AJ93" i="1"/>
  <c r="AF93" i="1"/>
  <c r="AB93" i="1"/>
  <c r="P4" i="5" l="1"/>
  <c r="U5" i="2" s="1"/>
  <c r="L4" i="5"/>
  <c r="Q5" i="2" s="1"/>
  <c r="H4" i="5"/>
  <c r="K95" i="1"/>
  <c r="D5" i="9"/>
  <c r="R4" i="5" l="1"/>
  <c r="M5" i="2"/>
  <c r="K96" i="1"/>
  <c r="D6" i="9"/>
  <c r="D7" i="9" l="1"/>
  <c r="K98" i="1"/>
  <c r="K99" i="1" l="1"/>
  <c r="K100" i="1" s="1"/>
  <c r="D9" i="9"/>
  <c r="D10" i="9" l="1"/>
  <c r="D11" i="9"/>
  <c r="G5" i="2"/>
  <c r="W5" i="2"/>
</calcChain>
</file>

<file path=xl/sharedStrings.xml><?xml version="1.0" encoding="utf-8"?>
<sst xmlns="http://schemas.openxmlformats.org/spreadsheetml/2006/main" count="6318" uniqueCount="287">
  <si>
    <t>#</t>
  </si>
  <si>
    <t>Nom de l'entreprise</t>
  </si>
  <si>
    <t>Filières</t>
  </si>
  <si>
    <t>Produits</t>
  </si>
  <si>
    <t>Vente à domicile ou auprès d’amis</t>
  </si>
  <si>
    <t>Marché local  (du village / petite ville)</t>
  </si>
  <si>
    <t xml:space="preserve">Marché Grossistes / Semi-grossistes, Grandes surfaces / supermarchés, hotels, </t>
  </si>
  <si>
    <t>Marché de l’Etat (commandes publiques cantine , école, )</t>
  </si>
  <si>
    <t>Marché numérique (vente en ligne, facebook, tiktok….whatsapp.. ;etc)</t>
  </si>
  <si>
    <t>Marché export (à l’étranger)</t>
  </si>
  <si>
    <t>Marché</t>
  </si>
  <si>
    <t xml:space="preserve"> </t>
  </si>
  <si>
    <t>Veille sur les marchés</t>
  </si>
  <si>
    <t>Equipements</t>
  </si>
  <si>
    <t>Logistique manquante ou inefficace</t>
  </si>
  <si>
    <t xml:space="preserve">Frein lié aux formations </t>
  </si>
  <si>
    <t>Frein lié à l' accès au financement</t>
  </si>
  <si>
    <t>Est intéressé (Oui/Non)</t>
  </si>
  <si>
    <t>Accès limité sur les opportunités du marché</t>
  </si>
  <si>
    <t>Accès limité au fonctionnement du marché</t>
  </si>
  <si>
    <t xml:space="preserve">Stockage </t>
  </si>
  <si>
    <t>Conditionnement</t>
  </si>
  <si>
    <t xml:space="preserve">Conservation </t>
  </si>
  <si>
    <r>
      <t xml:space="preserve">Moyen de transport – FREIN </t>
    </r>
    <r>
      <rPr>
        <b/>
        <i/>
        <sz val="11"/>
        <color theme="1"/>
        <rFont val="Aptos Narrow"/>
        <family val="2"/>
        <scheme val="minor"/>
      </rPr>
      <t>(version détaillée comme tu veux)</t>
    </r>
  </si>
  <si>
    <r>
      <t xml:space="preserve">Coût du transport – FREIN </t>
    </r>
    <r>
      <rPr>
        <b/>
        <i/>
        <sz val="11"/>
        <color theme="1"/>
        <rFont val="Aptos Narrow"/>
        <family val="2"/>
        <scheme val="minor"/>
      </rPr>
      <t>(version détaillée comme tu veux)</t>
    </r>
  </si>
  <si>
    <t>Formation normes &amp; qualité – FREIN</t>
  </si>
  <si>
    <t>Formation administrative – FREIN</t>
  </si>
  <si>
    <t>Formation numérique – FREIN</t>
  </si>
  <si>
    <t>Formation marketing / négociations – FREIN</t>
  </si>
  <si>
    <t>Financement équipement – FREIN</t>
  </si>
  <si>
    <t>Financement formation normes/qualité – FREIN</t>
  </si>
  <si>
    <t>Financement formation marketing / négociations– FREIN</t>
  </si>
  <si>
    <t>Financement formation numérique – FREIN</t>
  </si>
  <si>
    <t>Financement formation administrative – FREIN</t>
  </si>
  <si>
    <t>Financement développement global – FREIN</t>
  </si>
  <si>
    <t>Préfinancement commandes  – FREIN</t>
  </si>
  <si>
    <t>n</t>
  </si>
  <si>
    <t>Ancienneté</t>
  </si>
  <si>
    <t>Ville</t>
  </si>
  <si>
    <t>Tel</t>
  </si>
  <si>
    <t>Effectif</t>
  </si>
  <si>
    <t>CA FCFA</t>
  </si>
  <si>
    <t>Lait</t>
  </si>
  <si>
    <t>OUI</t>
  </si>
  <si>
    <r>
      <t xml:space="preserve">Dans cette section nous allons essayer d'identifier les freins d'accès aux marchés qui vous intéressent.
On rappelle que des freins sont des obstacles vous empêchant d'envisager d'entrer dans ces marchés, ce ne sont pas des simples difficultés surmontables facilement.
</t>
    </r>
    <r>
      <rPr>
        <b/>
        <sz val="11.9"/>
        <color rgb="FFFF0000"/>
        <rFont val="Aptos Narrow"/>
        <family val="2"/>
      </rPr>
      <t xml:space="preserve">il ne faudra pas donc répondre oui à toutes les questions </t>
    </r>
  </si>
  <si>
    <t>VGT</t>
  </si>
  <si>
    <t>Considérez-vous que le manque d’information sur les opportunités locales (besoin des voisins, lieux où trouver des clients potentiels, petits points de rencontre) constitue un frein pour augmenter vos ventes ?</t>
  </si>
  <si>
    <t>Considérez-vous que le manque d’informations sur la manière d’organiser la vente à domicile (prix adaptés, modalités de livraison locale, règles informelles du quartier) constitue un frein à vos ventes ?</t>
  </si>
  <si>
    <t>Marché local (village / petite ville)</t>
  </si>
  <si>
    <t>Souhaitez-vous accéder à ce type de marché ?</t>
  </si>
  <si>
    <t>Marché Grossistes / Semi-grossistes, Grandes surfaces / Supermarchés, hôtels</t>
  </si>
  <si>
    <t>Marché de l’Etat : cantines, hôpitaux, écoles, ministères (commandes publiques)</t>
  </si>
  <si>
    <t>Marché numérique (Facebook, Tiktok, Whatsapp, etc.)</t>
  </si>
  <si>
    <t>Mbalmayo</t>
  </si>
  <si>
    <t>Manioc</t>
  </si>
  <si>
    <t>Bertoua</t>
  </si>
  <si>
    <t>NON</t>
  </si>
  <si>
    <t xml:space="preserve">Presence marché par filliére </t>
  </si>
  <si>
    <t xml:space="preserve">Poisson </t>
  </si>
  <si>
    <t>Marché sous régional  (Gabon , nigeri….....)</t>
  </si>
  <si>
    <t>Niveau 1 (Marché Local)</t>
  </si>
  <si>
    <t>Niveau 2 (Marché  des grossistes)</t>
  </si>
  <si>
    <t>Niveau 3 (Marché de l'Etat)</t>
  </si>
  <si>
    <t>Niveau 4 (Marché numérique)</t>
  </si>
  <si>
    <t>Niveau 5 (Marché de la sous region)</t>
  </si>
  <si>
    <t>Niveau 6 (Marché internationnal )</t>
  </si>
  <si>
    <t>GIC DJOUMA</t>
  </si>
  <si>
    <t xml:space="preserve">Bamguel, Maroua </t>
  </si>
  <si>
    <t>50 sacs par saison</t>
  </si>
  <si>
    <t>Oignons</t>
  </si>
  <si>
    <t>-</t>
  </si>
  <si>
    <t>NDOUMESSI</t>
  </si>
  <si>
    <t>Kribi, Centre</t>
  </si>
  <si>
    <t>500 poules - 6 mois</t>
  </si>
  <si>
    <t>Volaile de chair</t>
  </si>
  <si>
    <t xml:space="preserve">GIC PRODUCTEURS DES OIGNONS </t>
  </si>
  <si>
    <t>Nord</t>
  </si>
  <si>
    <t>37 fois 4 par saison</t>
  </si>
  <si>
    <t xml:space="preserve">OUI </t>
  </si>
  <si>
    <t xml:space="preserve">NON </t>
  </si>
  <si>
    <t>GIC PRODUCTEURS DES PEPINIERES DE MAYO-LOUE</t>
  </si>
  <si>
    <t>32 sacs</t>
  </si>
  <si>
    <t>Piment</t>
  </si>
  <si>
    <t>GIC MADINA DES PRODUCTEURS DES CULTURES MARAICHERES DE BARGARAM</t>
  </si>
  <si>
    <t>Ilarifa, Extreme nord</t>
  </si>
  <si>
    <t>50 Sacs de par an</t>
  </si>
  <si>
    <t xml:space="preserve">groupe des élèves de Volaille de
Rouge </t>
  </si>
  <si>
    <t>Donry-BENOUE</t>
  </si>
  <si>
    <t>voliume par saison : 2024(14 tonnes) et 2025(10 tonnes)</t>
  </si>
  <si>
    <t>Volaile et production de mais</t>
  </si>
  <si>
    <t>Société coopérative simplifiée des éleveurs de poulet, de chair</t>
  </si>
  <si>
    <t>NASSARAO-GAROUA</t>
  </si>
  <si>
    <t>environ 600 alvéoles d'oeufs par jour</t>
  </si>
  <si>
    <t>poulet pondeuse et maîs</t>
  </si>
  <si>
    <t>Mandu, à Wawo, épouse Mbakom</t>
  </si>
  <si>
    <t>foumbot</t>
  </si>
  <si>
    <t xml:space="preserve">en moyenne 5 poulets par jour </t>
  </si>
  <si>
    <t>vente de poulet</t>
  </si>
  <si>
    <t>Marché de la sous region (à l’étranger)</t>
  </si>
  <si>
    <t>Structure d'accompagnement</t>
  </si>
  <si>
    <t>Volume de production mensuel</t>
  </si>
  <si>
    <t>Fruits et légumes</t>
  </si>
  <si>
    <t>GROUPE D'INITIATIVE COMMUNE DES PRODUCTEURS ET COMMERCANTS DES FRUITS DU MAYO-DANAY</t>
  </si>
  <si>
    <t>Caïcaï, dans le quartier Mangal(maroua)</t>
  </si>
  <si>
    <t>goyaves</t>
  </si>
  <si>
    <t>200 sacs de goyaves</t>
  </si>
  <si>
    <t>SCOOPS PROD. MAÏS ET OIGNONS KOZA</t>
  </si>
  <si>
    <t>SOCIETE COOPERATIVE AVEC CONSEIL D'ADMINISTRATION DES PRODUCTEURS D'OIGNON DE NGONG</t>
  </si>
  <si>
    <t>maïs et l'oignon.</t>
  </si>
  <si>
    <t>80 tonne par an</t>
  </si>
  <si>
    <t>oignon, mais aussi le riz et les haricots.</t>
  </si>
  <si>
    <t>Tamoundé, en allant vers Tukalongo</t>
  </si>
  <si>
    <t>528 tonne par an</t>
  </si>
  <si>
    <t>Société des Producteurs d'Oignons</t>
  </si>
  <si>
    <t>Dockbar, en allant vers Tamoundé</t>
  </si>
  <si>
    <t xml:space="preserve">1700 SACS par an </t>
  </si>
  <si>
    <t>NOPING</t>
  </si>
  <si>
    <t>DOUALA</t>
  </si>
  <si>
    <r>
      <t xml:space="preserve">120 </t>
    </r>
    <r>
      <rPr>
        <sz val="11"/>
        <color theme="1"/>
        <rFont val="Calibri"/>
        <family val="2"/>
      </rPr>
      <t>/</t>
    </r>
    <r>
      <rPr>
        <sz val="10.45"/>
        <color theme="1"/>
        <rFont val="Aptos Narrow"/>
        <family val="2"/>
      </rPr>
      <t xml:space="preserve"> 200 cartons par mois</t>
    </r>
  </si>
  <si>
    <t>œufs</t>
  </si>
  <si>
    <t xml:space="preserve">         n</t>
  </si>
  <si>
    <t>Sanaga Farms</t>
  </si>
  <si>
    <t>BAFOUSSAM</t>
  </si>
  <si>
    <t>4166 Poulets par mois</t>
  </si>
  <si>
    <t>Poulets de chair</t>
  </si>
  <si>
    <t>Madame Saïz épouse Wemny</t>
  </si>
  <si>
    <t>677-76-6234 / 696-60-6480</t>
  </si>
  <si>
    <t>Entre 10 et 20</t>
  </si>
  <si>
    <t>Élevage de poulets, poussins, aliments pour nourrir la volaille</t>
  </si>
  <si>
    <t>Coopérative d'éleveurs de canards et de poulets de Bupindi</t>
  </si>
  <si>
    <t>Bipindi</t>
  </si>
  <si>
    <t>Élevage de canards et de poulets</t>
  </si>
  <si>
    <t>677766234 / 696606480</t>
  </si>
  <si>
    <t>TIOMELA CLOTILDE</t>
  </si>
  <si>
    <t>GROUPE D'INITIATIVE COMMUNE DE FABRICATION NATURELLE DE YAOURT DU LITTORAL CENTRE</t>
  </si>
  <si>
    <t>GIC DES PRODUCTRICES DE MANIOC</t>
  </si>
  <si>
    <t>Littoral</t>
  </si>
  <si>
    <t>Manioc et autres tubercules</t>
  </si>
  <si>
    <t>20 tonnes</t>
  </si>
  <si>
    <t xml:space="preserve">LYCEE DE GARI-GOMBO
 </t>
  </si>
  <si>
    <t>30 sacs de 100 kg</t>
  </si>
  <si>
    <t>SOCIETE COOPERATIVE AVEC CONSEIL D'ADMINISTRATION AGROPASTORALE DES ACTEURS DU DEVELOPPEMENT DE NITOUKOU</t>
  </si>
  <si>
    <t>Tshukou,</t>
  </si>
  <si>
    <t>1200 tonne par an</t>
  </si>
  <si>
    <t>Groupe Initiatives Communes Agropastoral</t>
  </si>
  <si>
    <t>FOUMBOT</t>
  </si>
  <si>
    <t>manioc</t>
  </si>
  <si>
    <t xml:space="preserve"> NON</t>
  </si>
  <si>
    <t>1000 TONNE</t>
  </si>
  <si>
    <t>Moyen de transport – FREIN (version détaillée comme tu veux)</t>
  </si>
  <si>
    <t>Coût du transport – FREIN (version détaillée comme tu veux)</t>
  </si>
  <si>
    <t xml:space="preserve">Marché de la sous region </t>
  </si>
  <si>
    <t>SOCIETE COOPERATIVE SIMPLIFIEE RECOLTE 237 FERME NKOUE</t>
  </si>
  <si>
    <t>Poisson</t>
  </si>
  <si>
    <t>cilliure</t>
  </si>
  <si>
    <t xml:space="preserve">Yaoundé </t>
  </si>
  <si>
    <t>2600 alevin  par an</t>
  </si>
  <si>
    <t xml:space="preserve">SOCIÉTÉ COOPERATIVE SIMPLIFIEE DES PRODUCTEURS DE PATATE DE BONJONG
 </t>
  </si>
  <si>
    <t>Patates douces</t>
  </si>
  <si>
    <t>50 tonnes par mois</t>
  </si>
  <si>
    <t>Adamaoua</t>
  </si>
  <si>
    <t>SCOOPS PTASPL</t>
  </si>
  <si>
    <t>Tapioca</t>
  </si>
  <si>
    <t>yaoundé</t>
  </si>
  <si>
    <t>1500 kili le mois</t>
  </si>
  <si>
    <t>SOCIETE COOPERATIVE AVEC CONSEIL D'ADMINISTRATION DES PRODUCTEURS DE MANIOC WARACK MADIKOUM</t>
  </si>
  <si>
    <t>80 SACS  PAR MOIS</t>
  </si>
  <si>
    <t xml:space="preserve">Leprince </t>
  </si>
  <si>
    <t>Huile de palme</t>
  </si>
  <si>
    <t xml:space="preserve">400 litre par semaines </t>
  </si>
  <si>
    <t>STE COOP-CA DE PRODUCTION ET TRANSFORMATION DE MANIOC ET ACTIVITÉS CONNEXES DE MBANGASSINA</t>
  </si>
  <si>
    <t>SOCIETE COOPÉRATIVE AVEC CONSEIL D'ADMINISTRATION DES PRODUCTEURS DE MANIOC SAPE DE BERTOUA</t>
  </si>
  <si>
    <t>tapioca, l'amidon et les farines</t>
  </si>
  <si>
    <t>30 tonnes par an</t>
  </si>
  <si>
    <t xml:space="preserve">60 tonnes par an </t>
  </si>
  <si>
    <t xml:space="preserve">coopacam - </t>
  </si>
  <si>
    <t>l'huile de palme brut</t>
  </si>
  <si>
    <t>MFOU</t>
  </si>
  <si>
    <t>500L par semaine</t>
  </si>
  <si>
    <t>Analyse par filliéres</t>
  </si>
  <si>
    <t>Plantain</t>
  </si>
  <si>
    <t>SCOOP MAN DE MBALMAYO</t>
  </si>
  <si>
    <t>manioc et dans la transformation du manioc en amidon</t>
  </si>
  <si>
    <t xml:space="preserve">875 tonne par Saison </t>
  </si>
  <si>
    <t>Marché local</t>
  </si>
  <si>
    <t>Marché de grossistes</t>
  </si>
  <si>
    <t>Marché de l'Etat</t>
  </si>
  <si>
    <t>Marché numérique</t>
  </si>
  <si>
    <t>Marché de la sous région</t>
  </si>
  <si>
    <t>Marché internationnal</t>
  </si>
  <si>
    <t>Maraiamou</t>
  </si>
  <si>
    <t>Lait de vache</t>
  </si>
  <si>
    <t>630 l par mois</t>
  </si>
  <si>
    <t>Maroua</t>
  </si>
  <si>
    <t>Poisson frais</t>
  </si>
  <si>
    <t>Bendite à sangmelina</t>
  </si>
  <si>
    <t>Groupe produccteur de poisson</t>
  </si>
  <si>
    <t>150 kg par mois</t>
  </si>
  <si>
    <t>Poisson fumés</t>
  </si>
  <si>
    <t>vente de poulet fumé</t>
  </si>
  <si>
    <t>Vente poisson fumé</t>
  </si>
  <si>
    <t>Vente poulet fumé</t>
  </si>
  <si>
    <t>100 kg par mois</t>
  </si>
  <si>
    <t>Foumbot</t>
  </si>
  <si>
    <t>Haricot</t>
  </si>
  <si>
    <t>Gic producteur de Haricot</t>
  </si>
  <si>
    <t xml:space="preserve">15 sac par saison </t>
  </si>
  <si>
    <t>integrity-fruits</t>
  </si>
  <si>
    <t>Douala</t>
  </si>
  <si>
    <t>50kg par saison</t>
  </si>
  <si>
    <t>699 90 92 98</t>
  </si>
  <si>
    <t>CILLIURE</t>
  </si>
  <si>
    <t xml:space="preserve">Gic producteur de poissonHenri Samet au numéro </t>
  </si>
  <si>
    <t>1000 kg par an</t>
  </si>
  <si>
    <t>makou-epse-fotsing-delphine</t>
  </si>
  <si>
    <t>1200 KG</t>
  </si>
  <si>
    <t>organisation interprofessionnelle de la filière lait de vaches au Cameroun</t>
  </si>
  <si>
    <t>TCHABAM-FARO</t>
  </si>
  <si>
    <t>3600 littres</t>
  </si>
  <si>
    <t>lait</t>
  </si>
  <si>
    <t>lait Local</t>
  </si>
  <si>
    <t>Mélanie Tekaneng</t>
  </si>
  <si>
    <t>100 000 mois</t>
  </si>
  <si>
    <t>cilliures</t>
  </si>
  <si>
    <t>KRIBI</t>
  </si>
  <si>
    <t>Total</t>
  </si>
  <si>
    <t>Pompou Mangac</t>
  </si>
  <si>
    <t>mbang-BATOURI</t>
  </si>
  <si>
    <t>environ 3000 régimes</t>
  </si>
  <si>
    <t>banane plantain</t>
  </si>
  <si>
    <t xml:space="preserve">Marché Grossistes / </t>
  </si>
  <si>
    <t xml:space="preserve">Marché de l’Etat </t>
  </si>
  <si>
    <t xml:space="preserve">Marché numérique </t>
  </si>
  <si>
    <t xml:space="preserve">Marché local  </t>
  </si>
  <si>
    <t>société coopérative</t>
  </si>
  <si>
    <t>656 02 80 82</t>
  </si>
  <si>
    <t xml:space="preserve">30 a 40 tonnes </t>
  </si>
  <si>
    <t>NDOM,AKONOLINGA</t>
  </si>
  <si>
    <t>NYANO Patrice</t>
  </si>
  <si>
    <t>Nkolbisson YAOUNDE</t>
  </si>
  <si>
    <t>poisson</t>
  </si>
  <si>
    <t>653 90 79 49</t>
  </si>
  <si>
    <t>KINDAG adlist sarl</t>
  </si>
  <si>
    <t>banane plantée et nous transformons en boisson alcoolisée de la catégorie d'insuline</t>
  </si>
  <si>
    <t>Makat Centre ezéka</t>
  </si>
  <si>
    <t>10000 bouteilles</t>
  </si>
  <si>
    <t>société Harris Yaourt</t>
  </si>
  <si>
    <t>670 10 09 31</t>
  </si>
  <si>
    <t>2600 LITTRES</t>
  </si>
  <si>
    <t xml:space="preserve">yaourt </t>
  </si>
  <si>
    <t>Yaoundé Ngoa ékelle</t>
  </si>
  <si>
    <t>Moisso-Michel</t>
  </si>
  <si>
    <t>SCOOPS C.A.B.K.J</t>
  </si>
  <si>
    <t>Ngaoundéré</t>
  </si>
  <si>
    <t>poisson de table</t>
  </si>
  <si>
    <t xml:space="preserve">7 tonnes par an , 45000 alevin par an </t>
  </si>
  <si>
    <t>Mfou</t>
  </si>
  <si>
    <t>2 tonnes</t>
  </si>
  <si>
    <t>latittude</t>
  </si>
  <si>
    <t>10° 48′ Nord</t>
  </si>
  <si>
    <t>longitude</t>
  </si>
  <si>
    <t>14° 03′ Est</t>
  </si>
  <si>
    <t>2,9250° N</t>
  </si>
  <si>
    <t>9,9167° E</t>
  </si>
  <si>
    <t>8,2410564° N</t>
  </si>
  <si>
    <t>13,2174246° E</t>
  </si>
  <si>
    <t>9.3226016</t>
  </si>
  <si>
    <t>13.393389</t>
  </si>
  <si>
    <t>12° 26' 24" Nord</t>
  </si>
  <si>
    <t>14° 57' 00" Est</t>
  </si>
  <si>
    <t>9,91167°</t>
  </si>
  <si>
    <t>13,59838°</t>
  </si>
  <si>
    <t>5.502894</t>
  </si>
  <si>
    <t>10.636548</t>
  </si>
  <si>
    <t>10.6667589° N</t>
  </si>
  <si>
    <t>15.0284567° E</t>
  </si>
  <si>
    <t xml:space="preserve"> 9.01667</t>
  </si>
  <si>
    <t>13.1833</t>
  </si>
  <si>
    <t>4° 03′ 05″ N</t>
  </si>
  <si>
    <t>9° 41′ 08″ E</t>
  </si>
  <si>
    <t>10° 25' 3.32" E</t>
  </si>
  <si>
    <t>5° 28' 39.90" N</t>
  </si>
  <si>
    <t>Yaoundé et à Ebolowa</t>
  </si>
  <si>
    <t>2° 54' 59.99" N</t>
  </si>
  <si>
    <t>11° 08' 60.00" E</t>
  </si>
  <si>
    <t>10° 24' 59.99" E</t>
  </si>
  <si>
    <t>3° 04' 60.00" 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</si>
</sst>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5" formatCode="_-* #,##0_-;\-* #,##0_-;_-* &quot;-&quot;??_-;_-@_-"/>
    <numFmt numFmtId="166" formatCode="#,##0_ ;\-#,##0\ "/>
  </numFmts>
  <fonts count="14">
    <font>
      <sz val="11"/>
      <color theme="1"/>
      <name val="Aptos Narrow"/>
      <family val="2"/>
      <scheme val="minor"/>
    </font>
    <font>
      <sz val="11"/>
      <color theme="1"/>
      <name val="Aptos Narrow"/>
      <family val="2"/>
      <scheme val="minor"/>
    </font>
    <font>
      <b/>
      <sz val="11"/>
      <color theme="1"/>
      <name val="Aptos Narrow"/>
      <family val="2"/>
      <scheme val="minor"/>
    </font>
    <font>
      <b/>
      <i/>
      <sz val="11"/>
      <color theme="1"/>
      <name val="Aptos Narrow"/>
      <family val="2"/>
      <scheme val="minor"/>
    </font>
    <font>
      <sz val="11"/>
      <color theme="0" tint="-4.9989318521683403E-2"/>
      <name val="Aptos Narrow"/>
      <family val="2"/>
      <scheme val="minor"/>
    </font>
    <font>
      <b/>
      <sz val="14"/>
      <color theme="1"/>
      <name val="Aptos Narrow"/>
      <family val="2"/>
      <scheme val="minor"/>
    </font>
    <font>
      <b/>
      <sz val="11.9"/>
      <color rgb="FFFF0000"/>
      <name val="Aptos Narrow"/>
      <family val="2"/>
    </font>
    <font>
      <sz val="11"/>
      <color rgb="FF002060"/>
      <name val="Aptos Narrow"/>
      <family val="2"/>
      <scheme val="minor"/>
    </font>
    <font>
      <sz val="8"/>
      <name val="Aptos Narrow"/>
      <family val="2"/>
      <scheme val="minor"/>
    </font>
    <font>
      <sz val="11"/>
      <color theme="1"/>
      <name val="Calibri"/>
      <family val="2"/>
    </font>
    <font>
      <sz val="10.45"/>
      <color theme="1"/>
      <name val="Aptos Narrow"/>
      <family val="2"/>
    </font>
    <font>
      <sz val="11"/>
      <color rgb="FF333333"/>
      <name val="Arial"/>
      <family val="2"/>
    </font>
    <font>
      <sz val="12"/>
      <color rgb="FF000000"/>
      <name val="Segoe UI"/>
      <family val="2"/>
    </font>
    <font>
      <sz val="11"/>
      <color rgb="FF34495E"/>
      <name val="Aptos Narrow"/>
      <scheme val="minor"/>
    </font>
  </fonts>
  <fills count="8">
    <fill>
      <patternFill patternType="none"/>
    </fill>
    <fill>
      <patternFill patternType="gray125"/>
    </fill>
    <fill>
      <patternFill patternType="solid">
        <fgColor theme="6" tint="0.79998168889431442"/>
        <bgColor indexed="64"/>
      </patternFill>
    </fill>
    <fill>
      <patternFill patternType="solid">
        <fgColor rgb="FF7030A0"/>
        <bgColor indexed="64"/>
      </patternFill>
    </fill>
    <fill>
      <patternFill patternType="solid">
        <fgColor theme="8" tint="0.39997558519241921"/>
        <bgColor indexed="64"/>
      </patternFill>
    </fill>
    <fill>
      <patternFill patternType="solid">
        <fgColor rgb="FFFFC000"/>
        <bgColor indexed="64"/>
      </patternFill>
    </fill>
    <fill>
      <patternFill patternType="solid">
        <fgColor theme="0"/>
        <bgColor indexed="64"/>
      </patternFill>
    </fill>
    <fill>
      <patternFill patternType="solid">
        <fgColor theme="8"/>
        <bgColor indexed="64"/>
      </patternFill>
    </fill>
  </fills>
  <borders count="24">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7030A0"/>
      </left>
      <right style="thin">
        <color rgb="FF7030A0"/>
      </right>
      <top style="thin">
        <color rgb="FF7030A0"/>
      </top>
      <bottom style="thin">
        <color rgb="FF7030A0"/>
      </bottom>
      <diagonal/>
    </border>
    <border>
      <left style="thin">
        <color rgb="FF7030A0"/>
      </left>
      <right style="thin">
        <color rgb="FF7030A0"/>
      </right>
      <top style="thin">
        <color rgb="FF7030A0"/>
      </top>
      <bottom/>
      <diagonal/>
    </border>
    <border>
      <left style="thin">
        <color rgb="FF7030A0"/>
      </left>
      <right style="thin">
        <color rgb="FF7030A0"/>
      </right>
      <top/>
      <bottom style="thin">
        <color rgb="FF7030A0"/>
      </bottom>
      <diagonal/>
    </border>
    <border>
      <left style="thin">
        <color theme="0"/>
      </left>
      <right style="thin">
        <color theme="0"/>
      </right>
      <top style="thin">
        <color theme="0"/>
      </top>
      <bottom/>
      <diagonal/>
    </border>
    <border>
      <left/>
      <right style="thin">
        <color rgb="FF7030A0"/>
      </right>
      <top style="thin">
        <color rgb="FF7030A0"/>
      </top>
      <bottom/>
      <diagonal/>
    </border>
    <border>
      <left style="thin">
        <color rgb="FF7030A0"/>
      </left>
      <right style="thin">
        <color rgb="FF7030A0"/>
      </right>
      <top/>
      <bottom/>
      <diagonal/>
    </border>
    <border>
      <left style="thin">
        <color theme="0"/>
      </left>
      <right style="thin">
        <color theme="0"/>
      </right>
      <top style="thin">
        <color theme="0"/>
      </top>
      <bottom style="thin">
        <color theme="0"/>
      </bottom>
      <diagonal/>
    </border>
    <border>
      <left/>
      <right style="thin">
        <color indexed="64"/>
      </right>
      <top style="thin">
        <color indexed="64"/>
      </top>
      <bottom style="thin">
        <color indexed="64"/>
      </bottom>
      <diagonal/>
    </border>
    <border>
      <left/>
      <right style="thin">
        <color rgb="FF7030A0"/>
      </right>
      <top/>
      <bottom style="thin">
        <color rgb="FF7030A0"/>
      </bottom>
      <diagonal/>
    </border>
    <border>
      <left style="thin">
        <color rgb="FF7030A0"/>
      </left>
      <right/>
      <top/>
      <bottom style="thin">
        <color rgb="FF7030A0"/>
      </bottom>
      <diagonal/>
    </border>
    <border>
      <left style="thin">
        <color rgb="FF7030A0"/>
      </left>
      <right/>
      <top style="thin">
        <color rgb="FF7030A0"/>
      </top>
      <bottom/>
      <diagonal/>
    </border>
    <border>
      <left/>
      <right/>
      <top style="thin">
        <color indexed="64"/>
      </top>
      <bottom style="thin">
        <color indexed="64"/>
      </bottom>
      <diagonal/>
    </border>
    <border>
      <left style="thin">
        <color indexed="64"/>
      </left>
      <right style="thin">
        <color indexed="64"/>
      </right>
      <top/>
      <bottom/>
      <diagonal/>
    </border>
  </borders>
  <cellStyleXfs count="9">
    <xf numFmtId="0" fontId="0"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94">
    <xf numFmtId="0" fontId="0" fillId="0" borderId="0" xfId="0"/>
    <xf numFmtId="0" fontId="2" fillId="0" borderId="2" xfId="0" applyFont="1" applyBorder="1" applyAlignment="1">
      <alignment vertical="center" wrapText="1"/>
    </xf>
    <xf numFmtId="0" fontId="2" fillId="0" borderId="10" xfId="0" applyFont="1" applyBorder="1" applyAlignment="1">
      <alignment vertical="center" wrapText="1"/>
    </xf>
    <xf numFmtId="0" fontId="2" fillId="0" borderId="10" xfId="0" applyFont="1" applyBorder="1" applyAlignment="1">
      <alignment horizontal="center" vertical="center" wrapText="1"/>
    </xf>
    <xf numFmtId="0" fontId="0" fillId="0" borderId="11" xfId="0" applyBorder="1"/>
    <xf numFmtId="0" fontId="2" fillId="0" borderId="11" xfId="0" applyFont="1" applyBorder="1" applyAlignment="1">
      <alignment horizontal="center" vertical="center" wrapText="1"/>
    </xf>
    <xf numFmtId="0" fontId="0" fillId="0" borderId="12" xfId="0" applyBorder="1"/>
    <xf numFmtId="165" fontId="0" fillId="0" borderId="0" xfId="1" applyNumberFormat="1" applyFont="1"/>
    <xf numFmtId="165" fontId="0" fillId="0" borderId="11" xfId="1" applyNumberFormat="1" applyFont="1" applyBorder="1"/>
    <xf numFmtId="0" fontId="0" fillId="5" borderId="0" xfId="0" applyFill="1"/>
    <xf numFmtId="0" fontId="0" fillId="5" borderId="10" xfId="0" applyFill="1" applyBorder="1" applyAlignment="1">
      <alignment vertical="center" wrapText="1"/>
    </xf>
    <xf numFmtId="0" fontId="2" fillId="5" borderId="10" xfId="0" applyFont="1" applyFill="1" applyBorder="1" applyAlignment="1">
      <alignment vertical="center" wrapText="1"/>
    </xf>
    <xf numFmtId="0" fontId="0" fillId="0" borderId="10" xfId="0" applyBorder="1" applyAlignment="1">
      <alignment vertical="center" wrapText="1"/>
    </xf>
    <xf numFmtId="0" fontId="0" fillId="6" borderId="0" xfId="0" applyFill="1"/>
    <xf numFmtId="0" fontId="0" fillId="2" borderId="0" xfId="0" applyFill="1"/>
    <xf numFmtId="0" fontId="2" fillId="0" borderId="0" xfId="0" applyFont="1" applyAlignment="1">
      <alignment horizontal="center" vertical="center" wrapText="1"/>
    </xf>
    <xf numFmtId="0" fontId="0" fillId="0" borderId="0" xfId="0" applyAlignment="1">
      <alignment vertical="center" wrapText="1"/>
    </xf>
    <xf numFmtId="0" fontId="4" fillId="3" borderId="14" xfId="0" applyFont="1" applyFill="1" applyBorder="1"/>
    <xf numFmtId="165" fontId="4" fillId="3" borderId="14" xfId="1" applyNumberFormat="1" applyFont="1" applyFill="1" applyBorder="1"/>
    <xf numFmtId="0" fontId="2" fillId="0" borderId="15"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2" xfId="0" applyFont="1" applyBorder="1" applyAlignment="1">
      <alignment vertical="center" wrapText="1"/>
    </xf>
    <xf numFmtId="0" fontId="0" fillId="0" borderId="16" xfId="0" applyBorder="1"/>
    <xf numFmtId="165" fontId="0" fillId="0" borderId="16" xfId="1" applyNumberFormat="1" applyFont="1" applyBorder="1"/>
    <xf numFmtId="0" fontId="2" fillId="0" borderId="16" xfId="0" applyFont="1" applyBorder="1" applyAlignment="1">
      <alignment horizontal="center" vertical="center" wrapText="1"/>
    </xf>
    <xf numFmtId="0" fontId="0" fillId="0" borderId="10" xfId="0" applyBorder="1"/>
    <xf numFmtId="165" fontId="0" fillId="0" borderId="10" xfId="1" applyNumberFormat="1" applyFont="1" applyBorder="1"/>
    <xf numFmtId="166" fontId="0" fillId="0" borderId="0" xfId="1" applyNumberFormat="1" applyFont="1" applyAlignment="1">
      <alignment vertical="center" wrapText="1"/>
    </xf>
    <xf numFmtId="0" fontId="0" fillId="0" borderId="1" xfId="0" applyBorder="1"/>
    <xf numFmtId="0" fontId="0" fillId="0" borderId="10" xfId="0" applyBorder="1" applyAlignment="1">
      <alignment wrapText="1"/>
    </xf>
    <xf numFmtId="0" fontId="0" fillId="0" borderId="10" xfId="0" applyBorder="1" applyAlignment="1">
      <alignment horizontal="left"/>
    </xf>
    <xf numFmtId="0" fontId="4" fillId="3" borderId="17" xfId="0" applyFont="1" applyFill="1" applyBorder="1" applyAlignment="1">
      <alignment horizontal="center" wrapText="1"/>
    </xf>
    <xf numFmtId="0" fontId="0" fillId="0" borderId="13" xfId="0" applyBorder="1" applyAlignment="1">
      <alignment horizontal="center"/>
    </xf>
    <xf numFmtId="0" fontId="0" fillId="0" borderId="11" xfId="0" applyBorder="1" applyAlignment="1">
      <alignment horizontal="center"/>
    </xf>
    <xf numFmtId="0" fontId="2" fillId="0" borderId="21" xfId="0" applyFont="1" applyBorder="1" applyAlignment="1">
      <alignment horizontal="center" vertical="center" wrapText="1"/>
    </xf>
    <xf numFmtId="0" fontId="0" fillId="7" borderId="10" xfId="0" applyFill="1" applyBorder="1"/>
    <xf numFmtId="0" fontId="0" fillId="7" borderId="0" xfId="0" applyFill="1"/>
    <xf numFmtId="0" fontId="2" fillId="0" borderId="10" xfId="0" applyFont="1" applyBorder="1"/>
    <xf numFmtId="0" fontId="0" fillId="4" borderId="2" xfId="0" applyFill="1" applyBorder="1"/>
    <xf numFmtId="0" fontId="0" fillId="4" borderId="22" xfId="0" applyFill="1" applyBorder="1"/>
    <xf numFmtId="0" fontId="0" fillId="4" borderId="18" xfId="0" applyFill="1" applyBorder="1"/>
    <xf numFmtId="0" fontId="0" fillId="4" borderId="10" xfId="0" applyFill="1" applyBorder="1"/>
    <xf numFmtId="0" fontId="0" fillId="7" borderId="19" xfId="0" applyFill="1" applyBorder="1"/>
    <xf numFmtId="165" fontId="7" fillId="0" borderId="10" xfId="1" applyNumberFormat="1" applyFont="1" applyBorder="1" applyAlignment="1">
      <alignment vertical="center" wrapText="1"/>
    </xf>
    <xf numFmtId="165" fontId="0" fillId="0" borderId="10" xfId="0" applyNumberFormat="1" applyBorder="1"/>
    <xf numFmtId="0" fontId="0" fillId="0" borderId="10" xfId="0" applyBorder="1" applyAlignment="1">
      <alignment horizontal="right"/>
    </xf>
    <xf numFmtId="0" fontId="0" fillId="0" borderId="16" xfId="0" applyBorder="1" applyAlignment="1">
      <alignment horizontal="right"/>
    </xf>
    <xf numFmtId="0" fontId="4" fillId="3" borderId="14" xfId="0" applyFont="1" applyFill="1" applyBorder="1" applyAlignment="1">
      <alignment horizontal="right"/>
    </xf>
    <xf numFmtId="0" fontId="0" fillId="0" borderId="11" xfId="0" applyBorder="1" applyAlignment="1">
      <alignment horizontal="right"/>
    </xf>
    <xf numFmtId="0" fontId="0" fillId="0" borderId="0" xfId="0" applyAlignment="1">
      <alignment horizontal="right"/>
    </xf>
    <xf numFmtId="0" fontId="0" fillId="6" borderId="10" xfId="0" applyFill="1" applyBorder="1"/>
    <xf numFmtId="0" fontId="0" fillId="0" borderId="10" xfId="0" applyBorder="1" applyAlignment="1">
      <alignment horizontal="center" vertical="center" wrapText="1"/>
    </xf>
    <xf numFmtId="166" fontId="0" fillId="0" borderId="0" xfId="0" applyNumberFormat="1"/>
    <xf numFmtId="165" fontId="0" fillId="0" borderId="0" xfId="1" applyNumberFormat="1" applyFont="1" applyAlignment="1">
      <alignment vertical="center" wrapText="1"/>
    </xf>
    <xf numFmtId="0" fontId="0" fillId="0" borderId="18" xfId="0" applyBorder="1"/>
    <xf numFmtId="165" fontId="9" fillId="0" borderId="10" xfId="1" applyNumberFormat="1" applyFont="1" applyBorder="1"/>
    <xf numFmtId="0" fontId="0" fillId="6" borderId="2" xfId="0" applyFill="1" applyBorder="1"/>
    <xf numFmtId="0" fontId="0" fillId="6" borderId="18" xfId="0" applyFill="1" applyBorder="1"/>
    <xf numFmtId="0" fontId="0" fillId="0" borderId="1" xfId="0" applyBorder="1" applyAlignment="1">
      <alignment vertical="center" wrapText="1"/>
    </xf>
    <xf numFmtId="0" fontId="0" fillId="6" borderId="1" xfId="0" applyFill="1" applyBorder="1"/>
    <xf numFmtId="0" fontId="2" fillId="0" borderId="23" xfId="0" applyFont="1" applyBorder="1" applyAlignment="1">
      <alignment vertical="center" wrapText="1"/>
    </xf>
    <xf numFmtId="166" fontId="0" fillId="0" borderId="0" xfId="0" applyNumberFormat="1" applyAlignment="1">
      <alignment vertical="center" wrapText="1"/>
    </xf>
    <xf numFmtId="165" fontId="0" fillId="0" borderId="10" xfId="5" applyNumberFormat="1" applyFont="1" applyBorder="1" applyAlignment="1">
      <alignment wrapText="1"/>
    </xf>
    <xf numFmtId="0" fontId="2" fillId="0" borderId="10" xfId="0" applyFont="1" applyBorder="1" applyAlignment="1">
      <alignment horizontal="center" vertical="center" wrapText="1"/>
    </xf>
    <xf numFmtId="0" fontId="0" fillId="0" borderId="10" xfId="0" applyBorder="1" applyAlignment="1">
      <alignment vertical="center" wrapText="1"/>
    </xf>
    <xf numFmtId="0" fontId="0" fillId="0" borderId="10" xfId="0" applyBorder="1"/>
    <xf numFmtId="0" fontId="0" fillId="0" borderId="10" xfId="0" applyBorder="1"/>
    <xf numFmtId="3" fontId="0" fillId="0" borderId="10" xfId="0" applyNumberFormat="1" applyBorder="1" applyAlignment="1">
      <alignment horizontal="right"/>
    </xf>
    <xf numFmtId="0" fontId="2" fillId="0" borderId="10" xfId="0" applyFont="1" applyBorder="1" applyAlignment="1">
      <alignment horizontal="center" vertical="center" wrapText="1"/>
    </xf>
    <xf numFmtId="0" fontId="0" fillId="0" borderId="10" xfId="0" applyBorder="1" applyAlignment="1">
      <alignment vertical="center" wrapText="1"/>
    </xf>
    <xf numFmtId="0" fontId="0" fillId="0" borderId="10" xfId="0" applyBorder="1"/>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5" fillId="0" borderId="0" xfId="0" applyFont="1" applyAlignment="1">
      <alignment horizontal="left"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4" borderId="10" xfId="0" applyFill="1" applyBorder="1" applyAlignment="1">
      <alignment horizontal="center"/>
    </xf>
    <xf numFmtId="0" fontId="2" fillId="4" borderId="10"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0" fillId="4" borderId="16" xfId="0" applyFill="1" applyBorder="1" applyAlignment="1">
      <alignment horizontal="center"/>
    </xf>
    <xf numFmtId="0" fontId="2" fillId="0" borderId="0" xfId="0" applyFont="1" applyAlignment="1">
      <alignment horizontal="center" vertical="center" wrapText="1"/>
    </xf>
    <xf numFmtId="0" fontId="11" fillId="0" borderId="0" xfId="0" applyFont="1"/>
    <xf numFmtId="0" fontId="0" fillId="0" borderId="10" xfId="0" applyBorder="1" applyAlignment="1">
      <alignment horizontal="right" wrapText="1"/>
    </xf>
    <xf numFmtId="165" fontId="0" fillId="0" borderId="10" xfId="1" applyNumberFormat="1" applyFont="1" applyBorder="1" applyAlignment="1">
      <alignment wrapText="1"/>
    </xf>
    <xf numFmtId="0" fontId="12" fillId="0" borderId="10" xfId="0" applyFont="1" applyBorder="1" applyAlignment="1">
      <alignment wrapText="1"/>
    </xf>
    <xf numFmtId="0" fontId="11" fillId="0" borderId="10" xfId="0" applyFont="1" applyBorder="1" applyAlignment="1">
      <alignment wrapText="1"/>
    </xf>
    <xf numFmtId="0" fontId="11" fillId="0" borderId="0" xfId="0" applyFont="1" applyAlignment="1">
      <alignment vertical="center" wrapText="1"/>
    </xf>
    <xf numFmtId="0" fontId="13" fillId="0" borderId="0" xfId="0" applyFont="1"/>
    <xf numFmtId="0" fontId="13" fillId="0" borderId="10" xfId="0" applyFont="1" applyBorder="1"/>
  </cellXfs>
  <cellStyles count="9">
    <cellStyle name="Milliers" xfId="1" builtinId="3"/>
    <cellStyle name="Milliers 2" xfId="2"/>
    <cellStyle name="Milliers 2 2" xfId="4"/>
    <cellStyle name="Milliers 2 3" xfId="6"/>
    <cellStyle name="Milliers 2 4" xfId="8"/>
    <cellStyle name="Milliers 3" xfId="3"/>
    <cellStyle name="Milliers 4" xfId="5"/>
    <cellStyle name="Milliers 5" xfId="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Présence au marché par filliére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69579760933735E-2"/>
          <c:y val="4.6975461468329094E-2"/>
          <c:w val="0.95930422333571941"/>
          <c:h val="0.91105768186662428"/>
        </c:manualLayout>
      </c:layout>
      <c:bar3DChart>
        <c:barDir val="col"/>
        <c:grouping val="stacked"/>
        <c:varyColors val="0"/>
        <c:ser>
          <c:idx val="0"/>
          <c:order val="0"/>
          <c:tx>
            <c:strRef>
              <c:f>'PR MARCHE PAR FI'!$A$4</c:f>
              <c:strCache>
                <c:ptCount val="1"/>
                <c:pt idx="0">
                  <c:v>Fruits et légumes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 MARCHE PAR FI'!$B$3:$G$3</c:f>
              <c:strCache>
                <c:ptCount val="6"/>
                <c:pt idx="0">
                  <c:v>Marché local  </c:v>
                </c:pt>
                <c:pt idx="1">
                  <c:v>Marché Grossistes / </c:v>
                </c:pt>
                <c:pt idx="2">
                  <c:v>Marché de l’Etat </c:v>
                </c:pt>
                <c:pt idx="3">
                  <c:v>Marché numérique </c:v>
                </c:pt>
                <c:pt idx="4">
                  <c:v>Marché de la sous region </c:v>
                </c:pt>
                <c:pt idx="5">
                  <c:v>Marché export (à l’étranger)</c:v>
                </c:pt>
              </c:strCache>
            </c:strRef>
          </c:cat>
          <c:val>
            <c:numRef>
              <c:f>'PR MARCHE PAR FI'!$B$4:$G$4</c:f>
              <c:numCache>
                <c:formatCode>#\ ##0_ ;\-#\ ##0\ </c:formatCode>
                <c:ptCount val="6"/>
                <c:pt idx="0">
                  <c:v>10</c:v>
                </c:pt>
                <c:pt idx="1">
                  <c:v>2</c:v>
                </c:pt>
                <c:pt idx="2">
                  <c:v>0</c:v>
                </c:pt>
                <c:pt idx="3">
                  <c:v>0</c:v>
                </c:pt>
                <c:pt idx="4">
                  <c:v>1</c:v>
                </c:pt>
                <c:pt idx="5">
                  <c:v>0</c:v>
                </c:pt>
              </c:numCache>
            </c:numRef>
          </c:val>
          <c:extLst xmlns:c16r2="http://schemas.microsoft.com/office/drawing/2015/06/chart">
            <c:ext xmlns:c16="http://schemas.microsoft.com/office/drawing/2014/chart" uri="{C3380CC4-5D6E-409C-BE32-E72D297353CC}">
              <c16:uniqueId val="{00000000-D509-4D50-8C79-95B3969C71F4}"/>
            </c:ext>
          </c:extLst>
        </c:ser>
        <c:ser>
          <c:idx val="1"/>
          <c:order val="1"/>
          <c:tx>
            <c:strRef>
              <c:f>'PR MARCHE PAR FI'!$A$5</c:f>
              <c:strCache>
                <c:ptCount val="1"/>
                <c:pt idx="0">
                  <c:v>Volaile de chair</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 MARCHE PAR FI'!$B$3:$G$3</c:f>
              <c:strCache>
                <c:ptCount val="6"/>
                <c:pt idx="0">
                  <c:v>Marché local  </c:v>
                </c:pt>
                <c:pt idx="1">
                  <c:v>Marché Grossistes / </c:v>
                </c:pt>
                <c:pt idx="2">
                  <c:v>Marché de l’Etat </c:v>
                </c:pt>
                <c:pt idx="3">
                  <c:v>Marché numérique </c:v>
                </c:pt>
                <c:pt idx="4">
                  <c:v>Marché de la sous region </c:v>
                </c:pt>
                <c:pt idx="5">
                  <c:v>Marché export (à l’étranger)</c:v>
                </c:pt>
              </c:strCache>
            </c:strRef>
          </c:cat>
          <c:val>
            <c:numRef>
              <c:f>'PR MARCHE PAR FI'!$B$5:$G$5</c:f>
              <c:numCache>
                <c:formatCode>#\ ##0_ ;\-#\ ##0\ </c:formatCode>
                <c:ptCount val="6"/>
                <c:pt idx="0">
                  <c:v>9</c:v>
                </c:pt>
                <c:pt idx="1">
                  <c:v>4</c:v>
                </c:pt>
                <c:pt idx="2">
                  <c:v>2</c:v>
                </c:pt>
                <c:pt idx="3">
                  <c:v>2</c:v>
                </c:pt>
                <c:pt idx="4">
                  <c:v>1</c:v>
                </c:pt>
                <c:pt idx="5">
                  <c:v>1</c:v>
                </c:pt>
              </c:numCache>
            </c:numRef>
          </c:val>
          <c:extLst xmlns:c16r2="http://schemas.microsoft.com/office/drawing/2015/06/chart">
            <c:ext xmlns:c16="http://schemas.microsoft.com/office/drawing/2014/chart" uri="{C3380CC4-5D6E-409C-BE32-E72D297353CC}">
              <c16:uniqueId val="{00000001-D509-4D50-8C79-95B3969C71F4}"/>
            </c:ext>
          </c:extLst>
        </c:ser>
        <c:ser>
          <c:idx val="2"/>
          <c:order val="2"/>
          <c:tx>
            <c:strRef>
              <c:f>'PR MARCHE PAR FI'!$A$6</c:f>
              <c:strCache>
                <c:ptCount val="1"/>
                <c:pt idx="0">
                  <c:v>Lait</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 MARCHE PAR FI'!$B$3:$G$3</c:f>
              <c:strCache>
                <c:ptCount val="6"/>
                <c:pt idx="0">
                  <c:v>Marché local  </c:v>
                </c:pt>
                <c:pt idx="1">
                  <c:v>Marché Grossistes / </c:v>
                </c:pt>
                <c:pt idx="2">
                  <c:v>Marché de l’Etat </c:v>
                </c:pt>
                <c:pt idx="3">
                  <c:v>Marché numérique </c:v>
                </c:pt>
                <c:pt idx="4">
                  <c:v>Marché de la sous region </c:v>
                </c:pt>
                <c:pt idx="5">
                  <c:v>Marché export (à l’étranger)</c:v>
                </c:pt>
              </c:strCache>
            </c:strRef>
          </c:cat>
          <c:val>
            <c:numRef>
              <c:f>'PR MARCHE PAR FI'!$B$6:$G$6</c:f>
              <c:numCache>
                <c:formatCode>#\ ##0_ ;\-#\ ##0\ </c:formatCode>
                <c:ptCount val="6"/>
                <c:pt idx="0">
                  <c:v>4</c:v>
                </c:pt>
                <c:pt idx="1">
                  <c:v>2</c:v>
                </c:pt>
                <c:pt idx="2">
                  <c:v>1</c:v>
                </c:pt>
                <c:pt idx="3">
                  <c:v>2</c:v>
                </c:pt>
                <c:pt idx="4">
                  <c:v>0</c:v>
                </c:pt>
                <c:pt idx="5">
                  <c:v>0</c:v>
                </c:pt>
              </c:numCache>
            </c:numRef>
          </c:val>
          <c:extLst xmlns:c16r2="http://schemas.microsoft.com/office/drawing/2015/06/chart">
            <c:ext xmlns:c16="http://schemas.microsoft.com/office/drawing/2014/chart" uri="{C3380CC4-5D6E-409C-BE32-E72D297353CC}">
              <c16:uniqueId val="{00000002-D509-4D50-8C79-95B3969C71F4}"/>
            </c:ext>
          </c:extLst>
        </c:ser>
        <c:ser>
          <c:idx val="3"/>
          <c:order val="3"/>
          <c:tx>
            <c:strRef>
              <c:f>'PR MARCHE PAR FI'!$A$7</c:f>
              <c:strCache>
                <c:ptCount val="1"/>
                <c:pt idx="0">
                  <c:v>Manioc et autres tubercules</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 MARCHE PAR FI'!$B$3:$G$3</c:f>
              <c:strCache>
                <c:ptCount val="6"/>
                <c:pt idx="0">
                  <c:v>Marché local  </c:v>
                </c:pt>
                <c:pt idx="1">
                  <c:v>Marché Grossistes / </c:v>
                </c:pt>
                <c:pt idx="2">
                  <c:v>Marché de l’Etat </c:v>
                </c:pt>
                <c:pt idx="3">
                  <c:v>Marché numérique </c:v>
                </c:pt>
                <c:pt idx="4">
                  <c:v>Marché de la sous region </c:v>
                </c:pt>
                <c:pt idx="5">
                  <c:v>Marché export (à l’étranger)</c:v>
                </c:pt>
              </c:strCache>
            </c:strRef>
          </c:cat>
          <c:val>
            <c:numRef>
              <c:f>'PR MARCHE PAR FI'!$B$7:$G$7</c:f>
              <c:numCache>
                <c:formatCode>#\ ##0_ ;\-#\ ##0\ </c:formatCode>
                <c:ptCount val="6"/>
                <c:pt idx="0">
                  <c:v>10</c:v>
                </c:pt>
                <c:pt idx="1">
                  <c:v>1</c:v>
                </c:pt>
                <c:pt idx="2">
                  <c:v>0</c:v>
                </c:pt>
                <c:pt idx="3">
                  <c:v>0</c:v>
                </c:pt>
                <c:pt idx="4">
                  <c:v>1</c:v>
                </c:pt>
                <c:pt idx="5">
                  <c:v>1</c:v>
                </c:pt>
              </c:numCache>
            </c:numRef>
          </c:val>
          <c:extLst xmlns:c16r2="http://schemas.microsoft.com/office/drawing/2015/06/chart">
            <c:ext xmlns:c16="http://schemas.microsoft.com/office/drawing/2014/chart" uri="{C3380CC4-5D6E-409C-BE32-E72D297353CC}">
              <c16:uniqueId val="{00000003-D509-4D50-8C79-95B3969C71F4}"/>
            </c:ext>
          </c:extLst>
        </c:ser>
        <c:ser>
          <c:idx val="4"/>
          <c:order val="4"/>
          <c:tx>
            <c:strRef>
              <c:f>'PR MARCHE PAR FI'!$A$8</c:f>
              <c:strCache>
                <c:ptCount val="1"/>
                <c:pt idx="0">
                  <c:v>Poisson </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 MARCHE PAR FI'!$B$3:$G$3</c:f>
              <c:strCache>
                <c:ptCount val="6"/>
                <c:pt idx="0">
                  <c:v>Marché local  </c:v>
                </c:pt>
                <c:pt idx="1">
                  <c:v>Marché Grossistes / </c:v>
                </c:pt>
                <c:pt idx="2">
                  <c:v>Marché de l’Etat </c:v>
                </c:pt>
                <c:pt idx="3">
                  <c:v>Marché numérique </c:v>
                </c:pt>
                <c:pt idx="4">
                  <c:v>Marché de la sous region </c:v>
                </c:pt>
                <c:pt idx="5">
                  <c:v>Marché export (à l’étranger)</c:v>
                </c:pt>
              </c:strCache>
            </c:strRef>
          </c:cat>
          <c:val>
            <c:numRef>
              <c:f>'PR MARCHE PAR FI'!$B$8:$G$8</c:f>
              <c:numCache>
                <c:formatCode>#\ ##0_ ;\-#\ ##0\ </c:formatCode>
                <c:ptCount val="6"/>
                <c:pt idx="0">
                  <c:v>7</c:v>
                </c:pt>
                <c:pt idx="1">
                  <c:v>4</c:v>
                </c:pt>
                <c:pt idx="2">
                  <c:v>0</c:v>
                </c:pt>
                <c:pt idx="3">
                  <c:v>2</c:v>
                </c:pt>
                <c:pt idx="4">
                  <c:v>0</c:v>
                </c:pt>
                <c:pt idx="5">
                  <c:v>0</c:v>
                </c:pt>
              </c:numCache>
            </c:numRef>
          </c:val>
          <c:extLst xmlns:c16r2="http://schemas.microsoft.com/office/drawing/2015/06/chart">
            <c:ext xmlns:c16="http://schemas.microsoft.com/office/drawing/2014/chart" uri="{C3380CC4-5D6E-409C-BE32-E72D297353CC}">
              <c16:uniqueId val="{00000004-D509-4D50-8C79-95B3969C71F4}"/>
            </c:ext>
          </c:extLst>
        </c:ser>
        <c:ser>
          <c:idx val="5"/>
          <c:order val="5"/>
          <c:tx>
            <c:strRef>
              <c:f>'PR MARCHE PAR FI'!$A$9</c:f>
              <c:strCache>
                <c:ptCount val="1"/>
                <c:pt idx="0">
                  <c:v>Huile de palme</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 MARCHE PAR FI'!$B$3:$G$3</c:f>
              <c:strCache>
                <c:ptCount val="6"/>
                <c:pt idx="0">
                  <c:v>Marché local  </c:v>
                </c:pt>
                <c:pt idx="1">
                  <c:v>Marché Grossistes / </c:v>
                </c:pt>
                <c:pt idx="2">
                  <c:v>Marché de l’Etat </c:v>
                </c:pt>
                <c:pt idx="3">
                  <c:v>Marché numérique </c:v>
                </c:pt>
                <c:pt idx="4">
                  <c:v>Marché de la sous region </c:v>
                </c:pt>
                <c:pt idx="5">
                  <c:v>Marché export (à l’étranger)</c:v>
                </c:pt>
              </c:strCache>
            </c:strRef>
          </c:cat>
          <c:val>
            <c:numRef>
              <c:f>'PR MARCHE PAR FI'!$B$9:$G$9</c:f>
              <c:numCache>
                <c:formatCode>#\ ##0_ ;\-#\ ##0\ </c:formatCode>
                <c:ptCount val="6"/>
                <c:pt idx="0">
                  <c:v>2</c:v>
                </c:pt>
                <c:pt idx="1">
                  <c:v>2</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5-D509-4D50-8C79-95B3969C71F4}"/>
            </c:ext>
          </c:extLst>
        </c:ser>
        <c:ser>
          <c:idx val="6"/>
          <c:order val="6"/>
          <c:tx>
            <c:strRef>
              <c:f>'PR MARCHE PAR FI'!$A$10</c:f>
              <c:strCache>
                <c:ptCount val="1"/>
                <c:pt idx="0">
                  <c:v>Plantain</c:v>
                </c:pt>
              </c:strCache>
            </c:strRef>
          </c:tx>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a:sp3d contourW="9525">
              <a:contourClr>
                <a:schemeClr val="accent1">
                  <a:lumMod val="60000"/>
                  <a:shade val="95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 MARCHE PAR FI'!$B$3:$G$3</c:f>
              <c:strCache>
                <c:ptCount val="6"/>
                <c:pt idx="0">
                  <c:v>Marché local  </c:v>
                </c:pt>
                <c:pt idx="1">
                  <c:v>Marché Grossistes / </c:v>
                </c:pt>
                <c:pt idx="2">
                  <c:v>Marché de l’Etat </c:v>
                </c:pt>
                <c:pt idx="3">
                  <c:v>Marché numérique </c:v>
                </c:pt>
                <c:pt idx="4">
                  <c:v>Marché de la sous region </c:v>
                </c:pt>
                <c:pt idx="5">
                  <c:v>Marché export (à l’étranger)</c:v>
                </c:pt>
              </c:strCache>
            </c:strRef>
          </c:cat>
          <c:val>
            <c:numRef>
              <c:f>'PR MARCHE PAR FI'!$B$10:$G$10</c:f>
              <c:numCache>
                <c:formatCode>#\ ##0_ ;\-#\ ##0\ </c:formatCode>
                <c:ptCount val="6"/>
                <c:pt idx="0">
                  <c:v>2</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6-D509-4D50-8C79-95B3969C71F4}"/>
            </c:ext>
          </c:extLst>
        </c:ser>
        <c:dLbls>
          <c:showLegendKey val="0"/>
          <c:showVal val="1"/>
          <c:showCatName val="0"/>
          <c:showSerName val="0"/>
          <c:showPercent val="0"/>
          <c:showBubbleSize val="0"/>
        </c:dLbls>
        <c:gapWidth val="150"/>
        <c:shape val="box"/>
        <c:axId val="1860240864"/>
        <c:axId val="1860238688"/>
        <c:axId val="0"/>
      </c:bar3DChart>
      <c:catAx>
        <c:axId val="1860240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1860238688"/>
        <c:crosses val="autoZero"/>
        <c:auto val="1"/>
        <c:lblAlgn val="ctr"/>
        <c:lblOffset val="100"/>
        <c:noMultiLvlLbl val="0"/>
      </c:catAx>
      <c:valAx>
        <c:axId val="1860238688"/>
        <c:scaling>
          <c:orientation val="minMax"/>
        </c:scaling>
        <c:delete val="0"/>
        <c:axPos val="l"/>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186024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r>
              <a:rPr lang="fr-FR" sz="1100"/>
              <a:t>Veuille sur le marché</a:t>
            </a:r>
          </a:p>
        </c:rich>
      </c:tx>
      <c:overlay val="0"/>
      <c:spPr>
        <a:noFill/>
        <a:ln>
          <a:noFill/>
        </a:ln>
        <a:effectLst/>
      </c:spPr>
      <c:txPr>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'Veille sur le marché'!$A$4</c:f>
              <c:strCache>
                <c:ptCount val="1"/>
                <c:pt idx="0">
                  <c:v>Accès limité sur les opportunités du marché</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'Veille sur le marché'!$B$3:$G$3</c:f>
              <c:strCache>
                <c:ptCount val="6"/>
                <c:pt idx="0">
                  <c:v>Marché local  (du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(à l’étranger)</c:v>
                </c:pt>
                <c:pt idx="5">
                  <c:v>Marché export (à l’étranger)</c:v>
                </c:pt>
              </c:strCache>
            </c:strRef>
          </c:cat>
          <c:val>
            <c:numRef>
              <c:f>'Veille sur le marché'!$B$4:$G$4</c:f>
              <c:numCache>
                <c:formatCode>General</c:formatCode>
                <c:ptCount val="6"/>
                <c:pt idx="0">
                  <c:v>5</c:v>
                </c:pt>
                <c:pt idx="1">
                  <c:v>21</c:v>
                </c:pt>
                <c:pt idx="2">
                  <c:v>10</c:v>
                </c:pt>
                <c:pt idx="3">
                  <c:v>8</c:v>
                </c:pt>
                <c:pt idx="4">
                  <c:v>23</c:v>
                </c:pt>
                <c:pt idx="5">
                  <c:v>21</c:v>
                </c:pt>
              </c:numCache>
            </c:numRef>
          </c:val>
          <c:extLst xmlns:c16r2="http://schemas.microsoft.com/office/drawing/2015/06/chart">
            <c:ext xmlns:c16="http://schemas.microsoft.com/office/drawing/2014/chart" uri="{C3380CC4-5D6E-409C-BE32-E72D297353CC}">
              <c16:uniqueId val="{00000000-885B-419C-B2B8-485A3FB8075D}"/>
            </c:ext>
          </c:extLst>
        </c:ser>
        <c:ser>
          <c:idx val="1"/>
          <c:order val="1"/>
          <c:tx>
            <c:strRef>
              <c:f>'Veille sur le marché'!$A$5</c:f>
              <c:strCache>
                <c:ptCount val="1"/>
                <c:pt idx="0">
                  <c:v>Accès limité au fonctionnement du marché</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'Veille sur le marché'!$B$3:$G$3</c:f>
              <c:strCache>
                <c:ptCount val="6"/>
                <c:pt idx="0">
                  <c:v>Marché local  (du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(à l’étranger)</c:v>
                </c:pt>
                <c:pt idx="5">
                  <c:v>Marché export (à l’étranger)</c:v>
                </c:pt>
              </c:strCache>
            </c:strRef>
          </c:cat>
          <c:val>
            <c:numRef>
              <c:f>'Veille sur le marché'!$B$5:$G$5</c:f>
              <c:numCache>
                <c:formatCode>#\ ##0_ ;\-#\ ##0\ </c:formatCode>
                <c:ptCount val="6"/>
                <c:pt idx="0">
                  <c:v>5</c:v>
                </c:pt>
                <c:pt idx="1">
                  <c:v>20</c:v>
                </c:pt>
                <c:pt idx="2">
                  <c:v>10</c:v>
                </c:pt>
                <c:pt idx="3">
                  <c:v>5</c:v>
                </c:pt>
                <c:pt idx="4" formatCode="General">
                  <c:v>23</c:v>
                </c:pt>
                <c:pt idx="5">
                  <c:v>21</c:v>
                </c:pt>
              </c:numCache>
            </c:numRef>
          </c:val>
          <c:extLst xmlns:c16r2="http://schemas.microsoft.com/office/drawing/2015/06/chart">
            <c:ext xmlns:c16="http://schemas.microsoft.com/office/drawing/2014/chart" uri="{C3380CC4-5D6E-409C-BE32-E72D297353CC}">
              <c16:uniqueId val="{00000001-885B-419C-B2B8-485A3FB8075D}"/>
            </c:ext>
          </c:extLst>
        </c:ser>
        <c:dLbls>
          <c:dLblPos val="ctr"/>
          <c:showLegendKey val="0"/>
          <c:showVal val="1"/>
          <c:showCatName val="0"/>
          <c:showSerName val="0"/>
          <c:showPercent val="0"/>
          <c:showBubbleSize val="0"/>
        </c:dLbls>
        <c:gapWidth val="79"/>
        <c:overlap val="100"/>
        <c:axId val="1860241952"/>
        <c:axId val="1860236512"/>
      </c:barChart>
      <c:catAx>
        <c:axId val="186024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fr-FR"/>
          </a:p>
        </c:txPr>
        <c:crossAx val="1860236512"/>
        <c:crosses val="autoZero"/>
        <c:auto val="1"/>
        <c:lblAlgn val="ctr"/>
        <c:lblOffset val="100"/>
        <c:noMultiLvlLbl val="0"/>
      </c:catAx>
      <c:valAx>
        <c:axId val="1860236512"/>
        <c:scaling>
          <c:orientation val="minMax"/>
        </c:scaling>
        <c:delete val="1"/>
        <c:axPos val="l"/>
        <c:numFmt formatCode="General" sourceLinked="1"/>
        <c:majorTickMark val="none"/>
        <c:minorTickMark val="none"/>
        <c:tickLblPos val="nextTo"/>
        <c:crossAx val="186024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'Frein au marché '!$A$4</c:f>
              <c:strCache>
                <c:ptCount val="1"/>
                <c:pt idx="0">
                  <c:v>Marché local (village / petite ville)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au marché '!$B$4:$Q$4</c:f>
              <c:numCache>
                <c:formatCode>_-* #\ ##0_-;\-* #\ ##0_-;_-* "-"??_-;_-@_-</c:formatCode>
                <c:ptCount val="16"/>
                <c:pt idx="0">
                  <c:v>11</c:v>
                </c:pt>
                <c:pt idx="1">
                  <c:v>8</c:v>
                </c:pt>
                <c:pt idx="2">
                  <c:v>9</c:v>
                </c:pt>
                <c:pt idx="3">
                  <c:v>9</c:v>
                </c:pt>
                <c:pt idx="4">
                  <c:v>9</c:v>
                </c:pt>
                <c:pt idx="5">
                  <c:v>10</c:v>
                </c:pt>
                <c:pt idx="6">
                  <c:v>11</c:v>
                </c:pt>
                <c:pt idx="7">
                  <c:v>9</c:v>
                </c:pt>
                <c:pt idx="8">
                  <c:v>9</c:v>
                </c:pt>
                <c:pt idx="9">
                  <c:v>14</c:v>
                </c:pt>
                <c:pt idx="10">
                  <c:v>14</c:v>
                </c:pt>
                <c:pt idx="11">
                  <c:v>13</c:v>
                </c:pt>
                <c:pt idx="12">
                  <c:v>11</c:v>
                </c:pt>
                <c:pt idx="13">
                  <c:v>13</c:v>
                </c:pt>
                <c:pt idx="14">
                  <c:v>14</c:v>
                </c:pt>
                <c:pt idx="15">
                  <c:v>14</c:v>
                </c:pt>
              </c:numCache>
            </c:numRef>
          </c:val>
          <c:extLst xmlns:c16r2="http://schemas.microsoft.com/office/drawing/2015/06/chart">
            <c:ext xmlns:c16="http://schemas.microsoft.com/office/drawing/2014/chart" uri="{C3380CC4-5D6E-409C-BE32-E72D297353CC}">
              <c16:uniqueId val="{00000000-485D-492B-9CE6-696635FE71FD}"/>
            </c:ext>
          </c:extLst>
        </c:ser>
        <c:ser>
          <c:idx val="1"/>
          <c:order val="1"/>
          <c:tx>
            <c:strRef>
              <c:f>'Frein au marché '!#REF!</c:f>
              <c:strCache>
                <c:ptCount val="1"/>
                <c:pt idx="0">
                  <c:v>#REF!</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au marché '!#REF!</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1-485D-492B-9CE6-696635FE71FD}"/>
            </c:ext>
          </c:extLst>
        </c:ser>
        <c:ser>
          <c:idx val="2"/>
          <c:order val="2"/>
          <c:tx>
            <c:strRef>
              <c:f>'Frein au marché '!$A$5</c:f>
              <c:strCache>
                <c:ptCount val="1"/>
                <c:pt idx="0">
                  <c:v>Marché Grossistes / Semi-grossistes, Grandes surfaces / Supermarchés, hôtels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au marché '!$B$5:$Q$5</c:f>
              <c:numCache>
                <c:formatCode>#\ ##0_ ;\-#\ ##0\ </c:formatCode>
                <c:ptCount val="16"/>
                <c:pt idx="0">
                  <c:v>18</c:v>
                </c:pt>
                <c:pt idx="1">
                  <c:v>16</c:v>
                </c:pt>
                <c:pt idx="2">
                  <c:v>15</c:v>
                </c:pt>
                <c:pt idx="3">
                  <c:v>22</c:v>
                </c:pt>
                <c:pt idx="4">
                  <c:v>20</c:v>
                </c:pt>
                <c:pt idx="5">
                  <c:v>15</c:v>
                </c:pt>
                <c:pt idx="6">
                  <c:v>14</c:v>
                </c:pt>
                <c:pt idx="7">
                  <c:v>13</c:v>
                </c:pt>
                <c:pt idx="8">
                  <c:v>13</c:v>
                </c:pt>
                <c:pt idx="9">
                  <c:v>18</c:v>
                </c:pt>
                <c:pt idx="10">
                  <c:v>18</c:v>
                </c:pt>
                <c:pt idx="11">
                  <c:v>18</c:v>
                </c:pt>
                <c:pt idx="12">
                  <c:v>17</c:v>
                </c:pt>
                <c:pt idx="13">
                  <c:v>18</c:v>
                </c:pt>
                <c:pt idx="14">
                  <c:v>21</c:v>
                </c:pt>
                <c:pt idx="15">
                  <c:v>20</c:v>
                </c:pt>
              </c:numCache>
            </c:numRef>
          </c:val>
          <c:extLst xmlns:c16r2="http://schemas.microsoft.com/office/drawing/2015/06/chart">
            <c:ext xmlns:c16="http://schemas.microsoft.com/office/drawing/2014/chart" uri="{C3380CC4-5D6E-409C-BE32-E72D297353CC}">
              <c16:uniqueId val="{00000002-485D-492B-9CE6-696635FE71FD}"/>
            </c:ext>
          </c:extLst>
        </c:ser>
        <c:ser>
          <c:idx val="3"/>
          <c:order val="3"/>
          <c:tx>
            <c:strRef>
              <c:f>'Frein au marché '!$A$6</c:f>
              <c:strCache>
                <c:ptCount val="1"/>
                <c:pt idx="0">
                  <c:v>Marché de l’Etat : cantines, hôpitaux, écoles, ministères (commandes publiques)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au marché '!$B$6:$Q$6</c:f>
              <c:numCache>
                <c:formatCode>#\ ##0_ ;\-#\ ##0\ </c:formatCode>
                <c:ptCount val="16"/>
                <c:pt idx="0">
                  <c:v>9</c:v>
                </c:pt>
                <c:pt idx="1">
                  <c:v>9</c:v>
                </c:pt>
                <c:pt idx="2">
                  <c:v>8</c:v>
                </c:pt>
                <c:pt idx="3">
                  <c:v>6</c:v>
                </c:pt>
                <c:pt idx="4">
                  <c:v>6</c:v>
                </c:pt>
                <c:pt idx="5">
                  <c:v>6</c:v>
                </c:pt>
                <c:pt idx="6">
                  <c:v>6</c:v>
                </c:pt>
                <c:pt idx="7">
                  <c:v>6</c:v>
                </c:pt>
                <c:pt idx="8">
                  <c:v>9</c:v>
                </c:pt>
                <c:pt idx="9">
                  <c:v>9</c:v>
                </c:pt>
                <c:pt idx="10">
                  <c:v>10</c:v>
                </c:pt>
                <c:pt idx="11">
                  <c:v>7</c:v>
                </c:pt>
                <c:pt idx="12">
                  <c:v>7</c:v>
                </c:pt>
                <c:pt idx="13">
                  <c:v>10</c:v>
                </c:pt>
                <c:pt idx="14">
                  <c:v>10</c:v>
                </c:pt>
                <c:pt idx="15">
                  <c:v>10</c:v>
                </c:pt>
              </c:numCache>
            </c:numRef>
          </c:val>
          <c:extLst xmlns:c16r2="http://schemas.microsoft.com/office/drawing/2015/06/chart">
            <c:ext xmlns:c16="http://schemas.microsoft.com/office/drawing/2014/chart" uri="{C3380CC4-5D6E-409C-BE32-E72D297353CC}">
              <c16:uniqueId val="{00000003-485D-492B-9CE6-696635FE71FD}"/>
            </c:ext>
          </c:extLst>
        </c:ser>
        <c:ser>
          <c:idx val="4"/>
          <c:order val="4"/>
          <c:tx>
            <c:strRef>
              <c:f>'Frein au marché '!$A$7</c:f>
              <c:strCache>
                <c:ptCount val="1"/>
                <c:pt idx="0">
                  <c:v>Marché numérique (Facebook, Tiktok, Whatsapp, etc.)</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au marché '!$B$7:$Q$7</c:f>
              <c:numCache>
                <c:formatCode>#\ ##0_ ;\-#\ ##0\ </c:formatCode>
                <c:ptCount val="16"/>
                <c:pt idx="0">
                  <c:v>8</c:v>
                </c:pt>
                <c:pt idx="1">
                  <c:v>5</c:v>
                </c:pt>
                <c:pt idx="2">
                  <c:v>9</c:v>
                </c:pt>
                <c:pt idx="3">
                  <c:v>10</c:v>
                </c:pt>
                <c:pt idx="4">
                  <c:v>10</c:v>
                </c:pt>
                <c:pt idx="5">
                  <c:v>10</c:v>
                </c:pt>
                <c:pt idx="6">
                  <c:v>8</c:v>
                </c:pt>
                <c:pt idx="7">
                  <c:v>7</c:v>
                </c:pt>
                <c:pt idx="8">
                  <c:v>9</c:v>
                </c:pt>
                <c:pt idx="9">
                  <c:v>12</c:v>
                </c:pt>
                <c:pt idx="10">
                  <c:v>12</c:v>
                </c:pt>
                <c:pt idx="11">
                  <c:v>9</c:v>
                </c:pt>
                <c:pt idx="12">
                  <c:v>8</c:v>
                </c:pt>
                <c:pt idx="13">
                  <c:v>12</c:v>
                </c:pt>
                <c:pt idx="14">
                  <c:v>12</c:v>
                </c:pt>
                <c:pt idx="15">
                  <c:v>11</c:v>
                </c:pt>
              </c:numCache>
            </c:numRef>
          </c:val>
          <c:extLst xmlns:c16r2="http://schemas.microsoft.com/office/drawing/2015/06/chart">
            <c:ext xmlns:c16="http://schemas.microsoft.com/office/drawing/2014/chart" uri="{C3380CC4-5D6E-409C-BE32-E72D297353CC}">
              <c16:uniqueId val="{00000004-485D-492B-9CE6-696635FE71FD}"/>
            </c:ext>
          </c:extLst>
        </c:ser>
        <c:ser>
          <c:idx val="5"/>
          <c:order val="5"/>
          <c:tx>
            <c:strRef>
              <c:f>'Frein au marché '!$A$8</c:f>
              <c:strCache>
                <c:ptCount val="1"/>
                <c:pt idx="0">
                  <c:v>Marché de la sous region </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au marché '!$B$8:$Q$8</c:f>
              <c:numCache>
                <c:formatCode>#\ ##0_ ;\-#\ ##0\ </c:formatCode>
                <c:ptCount val="16"/>
                <c:pt idx="0">
                  <c:v>20</c:v>
                </c:pt>
                <c:pt idx="1">
                  <c:v>18</c:v>
                </c:pt>
                <c:pt idx="2">
                  <c:v>20</c:v>
                </c:pt>
                <c:pt idx="3">
                  <c:v>21</c:v>
                </c:pt>
                <c:pt idx="4">
                  <c:v>25</c:v>
                </c:pt>
                <c:pt idx="5">
                  <c:v>24</c:v>
                </c:pt>
                <c:pt idx="6">
                  <c:v>20</c:v>
                </c:pt>
                <c:pt idx="7">
                  <c:v>19</c:v>
                </c:pt>
                <c:pt idx="8">
                  <c:v>23</c:v>
                </c:pt>
                <c:pt idx="9">
                  <c:v>24</c:v>
                </c:pt>
                <c:pt idx="10">
                  <c:v>25</c:v>
                </c:pt>
                <c:pt idx="11">
                  <c:v>21</c:v>
                </c:pt>
                <c:pt idx="12">
                  <c:v>21</c:v>
                </c:pt>
                <c:pt idx="13">
                  <c:v>25</c:v>
                </c:pt>
                <c:pt idx="14">
                  <c:v>25</c:v>
                </c:pt>
                <c:pt idx="15">
                  <c:v>24</c:v>
                </c:pt>
              </c:numCache>
            </c:numRef>
          </c:val>
          <c:extLst xmlns:c16r2="http://schemas.microsoft.com/office/drawing/2015/06/chart">
            <c:ext xmlns:c16="http://schemas.microsoft.com/office/drawing/2014/chart" uri="{C3380CC4-5D6E-409C-BE32-E72D297353CC}">
              <c16:uniqueId val="{00000005-485D-492B-9CE6-696635FE71FD}"/>
            </c:ext>
          </c:extLst>
        </c:ser>
        <c:ser>
          <c:idx val="6"/>
          <c:order val="6"/>
          <c:tx>
            <c:strRef>
              <c:f>'Frein au marché '!$A$9</c:f>
              <c:strCache>
                <c:ptCount val="1"/>
                <c:pt idx="0">
                  <c:v>Marché export (à l’étranger)</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au marché '!$B$9:$Q$9</c:f>
              <c:numCache>
                <c:formatCode>#\ ##0_ ;\-#\ ##0\ </c:formatCode>
                <c:ptCount val="16"/>
                <c:pt idx="0">
                  <c:v>19</c:v>
                </c:pt>
                <c:pt idx="1">
                  <c:v>17</c:v>
                </c:pt>
                <c:pt idx="2">
                  <c:v>21</c:v>
                </c:pt>
                <c:pt idx="3">
                  <c:v>21</c:v>
                </c:pt>
                <c:pt idx="4">
                  <c:v>22</c:v>
                </c:pt>
                <c:pt idx="5">
                  <c:v>20</c:v>
                </c:pt>
                <c:pt idx="6">
                  <c:v>18</c:v>
                </c:pt>
                <c:pt idx="7">
                  <c:v>17</c:v>
                </c:pt>
                <c:pt idx="8">
                  <c:v>20</c:v>
                </c:pt>
                <c:pt idx="9">
                  <c:v>22</c:v>
                </c:pt>
                <c:pt idx="10">
                  <c:v>22</c:v>
                </c:pt>
                <c:pt idx="11">
                  <c:v>18</c:v>
                </c:pt>
                <c:pt idx="12">
                  <c:v>18</c:v>
                </c:pt>
                <c:pt idx="13">
                  <c:v>22</c:v>
                </c:pt>
                <c:pt idx="14">
                  <c:v>22</c:v>
                </c:pt>
                <c:pt idx="15">
                  <c:v>22</c:v>
                </c:pt>
              </c:numCache>
            </c:numRef>
          </c:val>
          <c:extLst xmlns:c16r2="http://schemas.microsoft.com/office/drawing/2015/06/chart">
            <c:ext xmlns:c16="http://schemas.microsoft.com/office/drawing/2014/chart" uri="{C3380CC4-5D6E-409C-BE32-E72D297353CC}">
              <c16:uniqueId val="{00000006-485D-492B-9CE6-696635FE71FD}"/>
            </c:ext>
          </c:extLst>
        </c:ser>
        <c:dLbls>
          <c:dLblPos val="ctr"/>
          <c:showLegendKey val="0"/>
          <c:showVal val="1"/>
          <c:showCatName val="0"/>
          <c:showSerName val="0"/>
          <c:showPercent val="0"/>
          <c:showBubbleSize val="0"/>
        </c:dLbls>
        <c:gapWidth val="150"/>
        <c:overlap val="100"/>
        <c:axId val="1860237600"/>
        <c:axId val="1860245760"/>
      </c:barChart>
      <c:catAx>
        <c:axId val="18602376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0245760"/>
        <c:crosses val="autoZero"/>
        <c:auto val="1"/>
        <c:lblAlgn val="ctr"/>
        <c:lblOffset val="100"/>
        <c:noMultiLvlLbl val="0"/>
      </c:catAx>
      <c:valAx>
        <c:axId val="1860245760"/>
        <c:scaling>
          <c:orientation val="minMax"/>
        </c:scaling>
        <c:delete val="0"/>
        <c:axPos val="l"/>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0237600"/>
        <c:crosses val="autoZero"/>
        <c:crossBetween val="between"/>
      </c:valAx>
      <c:spPr>
        <a:noFill/>
        <a:ln>
          <a:noFill/>
        </a:ln>
        <a:effectLst/>
      </c:spPr>
    </c:plotArea>
    <c:legend>
      <c:legendPos val="b"/>
      <c:legendEntry>
        <c:idx val="5"/>
        <c:delete val="1"/>
      </c:legendEntry>
      <c:layout>
        <c:manualLayout>
          <c:xMode val="edge"/>
          <c:yMode val="edge"/>
          <c:x val="0.17045315495978472"/>
          <c:y val="0.63453844184836961"/>
          <c:w val="0.61537950209515879"/>
          <c:h val="0.36546157333791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Frein accès aux differents marchés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'Frein au marché '!$B$3</c:f>
              <c:strCache>
                <c:ptCount val="1"/>
                <c:pt idx="0">
                  <c:v>Stockage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'!$B$4:$B$9</c:f>
              <c:numCache>
                <c:formatCode>#\ ##0_ ;\-#\ ##0\ </c:formatCode>
                <c:ptCount val="6"/>
                <c:pt idx="0" formatCode="_-* #\ ##0_-;\-* #\ ##0_-;_-* &quot;-&quot;??_-;_-@_-">
                  <c:v>11</c:v>
                </c:pt>
                <c:pt idx="1">
                  <c:v>18</c:v>
                </c:pt>
                <c:pt idx="2">
                  <c:v>9</c:v>
                </c:pt>
                <c:pt idx="3">
                  <c:v>8</c:v>
                </c:pt>
                <c:pt idx="4">
                  <c:v>20</c:v>
                </c:pt>
                <c:pt idx="5">
                  <c:v>19</c:v>
                </c:pt>
              </c:numCache>
            </c:numRef>
          </c:val>
          <c:extLst xmlns:c16r2="http://schemas.microsoft.com/office/drawing/2015/06/chart">
            <c:ext xmlns:c16="http://schemas.microsoft.com/office/drawing/2014/chart" uri="{C3380CC4-5D6E-409C-BE32-E72D297353CC}">
              <c16:uniqueId val="{00000000-D9AB-4D27-A248-B87DA5301137}"/>
            </c:ext>
          </c:extLst>
        </c:ser>
        <c:ser>
          <c:idx val="1"/>
          <c:order val="1"/>
          <c:tx>
            <c:strRef>
              <c:f>'Frein au marché '!$C$3</c:f>
              <c:strCache>
                <c:ptCount val="1"/>
                <c:pt idx="0">
                  <c:v>Conditionnement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'!$C$4:$C$9</c:f>
              <c:numCache>
                <c:formatCode>#\ ##0_ ;\-#\ ##0\ </c:formatCode>
                <c:ptCount val="6"/>
                <c:pt idx="0" formatCode="_-* #\ ##0_-;\-* #\ ##0_-;_-* &quot;-&quot;??_-;_-@_-">
                  <c:v>8</c:v>
                </c:pt>
                <c:pt idx="1">
                  <c:v>16</c:v>
                </c:pt>
                <c:pt idx="2">
                  <c:v>9</c:v>
                </c:pt>
                <c:pt idx="3">
                  <c:v>5</c:v>
                </c:pt>
                <c:pt idx="4">
                  <c:v>18</c:v>
                </c:pt>
                <c:pt idx="5">
                  <c:v>17</c:v>
                </c:pt>
              </c:numCache>
            </c:numRef>
          </c:val>
          <c:extLst xmlns:c16r2="http://schemas.microsoft.com/office/drawing/2015/06/chart">
            <c:ext xmlns:c16="http://schemas.microsoft.com/office/drawing/2014/chart" uri="{C3380CC4-5D6E-409C-BE32-E72D297353CC}">
              <c16:uniqueId val="{00000001-D9AB-4D27-A248-B87DA5301137}"/>
            </c:ext>
          </c:extLst>
        </c:ser>
        <c:ser>
          <c:idx val="2"/>
          <c:order val="2"/>
          <c:tx>
            <c:strRef>
              <c:f>'Frein au marché '!$D$3</c:f>
              <c:strCache>
                <c:ptCount val="1"/>
                <c:pt idx="0">
                  <c:v>Conservation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'!$D$4:$D$9</c:f>
              <c:numCache>
                <c:formatCode>#\ ##0_ ;\-#\ ##0\ </c:formatCode>
                <c:ptCount val="6"/>
                <c:pt idx="0" formatCode="_-* #\ ##0_-;\-* #\ ##0_-;_-* &quot;-&quot;??_-;_-@_-">
                  <c:v>9</c:v>
                </c:pt>
                <c:pt idx="1">
                  <c:v>15</c:v>
                </c:pt>
                <c:pt idx="2">
                  <c:v>8</c:v>
                </c:pt>
                <c:pt idx="3">
                  <c:v>9</c:v>
                </c:pt>
                <c:pt idx="4">
                  <c:v>20</c:v>
                </c:pt>
                <c:pt idx="5">
                  <c:v>21</c:v>
                </c:pt>
              </c:numCache>
            </c:numRef>
          </c:val>
          <c:extLst xmlns:c16r2="http://schemas.microsoft.com/office/drawing/2015/06/chart">
            <c:ext xmlns:c16="http://schemas.microsoft.com/office/drawing/2014/chart" uri="{C3380CC4-5D6E-409C-BE32-E72D297353CC}">
              <c16:uniqueId val="{00000002-D9AB-4D27-A248-B87DA5301137}"/>
            </c:ext>
          </c:extLst>
        </c:ser>
        <c:ser>
          <c:idx val="3"/>
          <c:order val="3"/>
          <c:tx>
            <c:strRef>
              <c:f>'Frein au marché '!$E$3</c:f>
              <c:strCache>
                <c:ptCount val="1"/>
                <c:pt idx="0">
                  <c:v>Moyen de transport – FREIN (version détaillée comme tu veux)</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'!$E$4:$E$9</c:f>
              <c:numCache>
                <c:formatCode>#\ ##0_ ;\-#\ ##0\ </c:formatCode>
                <c:ptCount val="6"/>
                <c:pt idx="0" formatCode="_-* #\ ##0_-;\-* #\ ##0_-;_-* &quot;-&quot;??_-;_-@_-">
                  <c:v>9</c:v>
                </c:pt>
                <c:pt idx="1">
                  <c:v>22</c:v>
                </c:pt>
                <c:pt idx="2">
                  <c:v>6</c:v>
                </c:pt>
                <c:pt idx="3">
                  <c:v>10</c:v>
                </c:pt>
                <c:pt idx="4">
                  <c:v>21</c:v>
                </c:pt>
                <c:pt idx="5">
                  <c:v>21</c:v>
                </c:pt>
              </c:numCache>
            </c:numRef>
          </c:val>
          <c:extLst xmlns:c16r2="http://schemas.microsoft.com/office/drawing/2015/06/chart">
            <c:ext xmlns:c16="http://schemas.microsoft.com/office/drawing/2014/chart" uri="{C3380CC4-5D6E-409C-BE32-E72D297353CC}">
              <c16:uniqueId val="{00000003-D9AB-4D27-A248-B87DA5301137}"/>
            </c:ext>
          </c:extLst>
        </c:ser>
        <c:ser>
          <c:idx val="4"/>
          <c:order val="4"/>
          <c:tx>
            <c:strRef>
              <c:f>'Frein au marché '!$F$3</c:f>
              <c:strCache>
                <c:ptCount val="1"/>
                <c:pt idx="0">
                  <c:v>Coût du transport – FREIN (version détaillée comme tu veux)</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'!$F$4:$F$9</c:f>
              <c:numCache>
                <c:formatCode>#\ ##0_ ;\-#\ ##0\ </c:formatCode>
                <c:ptCount val="6"/>
                <c:pt idx="0" formatCode="_-* #\ ##0_-;\-* #\ ##0_-;_-* &quot;-&quot;??_-;_-@_-">
                  <c:v>9</c:v>
                </c:pt>
                <c:pt idx="1">
                  <c:v>20</c:v>
                </c:pt>
                <c:pt idx="2">
                  <c:v>6</c:v>
                </c:pt>
                <c:pt idx="3">
                  <c:v>10</c:v>
                </c:pt>
                <c:pt idx="4">
                  <c:v>25</c:v>
                </c:pt>
                <c:pt idx="5">
                  <c:v>22</c:v>
                </c:pt>
              </c:numCache>
            </c:numRef>
          </c:val>
          <c:extLst xmlns:c16r2="http://schemas.microsoft.com/office/drawing/2015/06/chart">
            <c:ext xmlns:c16="http://schemas.microsoft.com/office/drawing/2014/chart" uri="{C3380CC4-5D6E-409C-BE32-E72D297353CC}">
              <c16:uniqueId val="{00000004-D9AB-4D27-A248-B87DA5301137}"/>
            </c:ext>
          </c:extLst>
        </c:ser>
        <c:ser>
          <c:idx val="5"/>
          <c:order val="5"/>
          <c:tx>
            <c:strRef>
              <c:f>'Frein au marché '!$G$3</c:f>
              <c:strCache>
                <c:ptCount val="1"/>
                <c:pt idx="0">
                  <c:v>Formation normes &amp; qualité – FREIN</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'!$G$4:$G$9</c:f>
              <c:numCache>
                <c:formatCode>#\ ##0_ ;\-#\ ##0\ </c:formatCode>
                <c:ptCount val="6"/>
                <c:pt idx="0" formatCode="_-* #\ ##0_-;\-* #\ ##0_-;_-* &quot;-&quot;??_-;_-@_-">
                  <c:v>10</c:v>
                </c:pt>
                <c:pt idx="1">
                  <c:v>15</c:v>
                </c:pt>
                <c:pt idx="2">
                  <c:v>6</c:v>
                </c:pt>
                <c:pt idx="3">
                  <c:v>10</c:v>
                </c:pt>
                <c:pt idx="4">
                  <c:v>24</c:v>
                </c:pt>
                <c:pt idx="5">
                  <c:v>20</c:v>
                </c:pt>
              </c:numCache>
            </c:numRef>
          </c:val>
          <c:extLst xmlns:c16r2="http://schemas.microsoft.com/office/drawing/2015/06/chart">
            <c:ext xmlns:c16="http://schemas.microsoft.com/office/drawing/2014/chart" uri="{C3380CC4-5D6E-409C-BE32-E72D297353CC}">
              <c16:uniqueId val="{00000005-D9AB-4D27-A248-B87DA5301137}"/>
            </c:ext>
          </c:extLst>
        </c:ser>
        <c:ser>
          <c:idx val="6"/>
          <c:order val="6"/>
          <c:tx>
            <c:strRef>
              <c:f>'Frein au marché '!$H$3</c:f>
              <c:strCache>
                <c:ptCount val="1"/>
                <c:pt idx="0">
                  <c:v>Formation administrative – FREIN</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'!$H$4:$H$9</c:f>
              <c:numCache>
                <c:formatCode>#\ ##0_ ;\-#\ ##0\ </c:formatCode>
                <c:ptCount val="6"/>
                <c:pt idx="0" formatCode="_-* #\ ##0_-;\-* #\ ##0_-;_-* &quot;-&quot;??_-;_-@_-">
                  <c:v>11</c:v>
                </c:pt>
                <c:pt idx="1">
                  <c:v>14</c:v>
                </c:pt>
                <c:pt idx="2">
                  <c:v>6</c:v>
                </c:pt>
                <c:pt idx="3">
                  <c:v>8</c:v>
                </c:pt>
                <c:pt idx="4">
                  <c:v>20</c:v>
                </c:pt>
                <c:pt idx="5">
                  <c:v>18</c:v>
                </c:pt>
              </c:numCache>
            </c:numRef>
          </c:val>
          <c:extLst xmlns:c16r2="http://schemas.microsoft.com/office/drawing/2015/06/chart">
            <c:ext xmlns:c16="http://schemas.microsoft.com/office/drawing/2014/chart" uri="{C3380CC4-5D6E-409C-BE32-E72D297353CC}">
              <c16:uniqueId val="{00000006-D9AB-4D27-A248-B87DA5301137}"/>
            </c:ext>
          </c:extLst>
        </c:ser>
        <c:ser>
          <c:idx val="7"/>
          <c:order val="7"/>
          <c:tx>
            <c:strRef>
              <c:f>'Frein au marché '!$I$3</c:f>
              <c:strCache>
                <c:ptCount val="1"/>
                <c:pt idx="0">
                  <c:v>Formation numérique – FREIN</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'!$I$4:$I$9</c:f>
              <c:numCache>
                <c:formatCode>#\ ##0_ ;\-#\ ##0\ </c:formatCode>
                <c:ptCount val="6"/>
                <c:pt idx="0" formatCode="_-* #\ ##0_-;\-* #\ ##0_-;_-* &quot;-&quot;??_-;_-@_-">
                  <c:v>9</c:v>
                </c:pt>
                <c:pt idx="1">
                  <c:v>13</c:v>
                </c:pt>
                <c:pt idx="2">
                  <c:v>6</c:v>
                </c:pt>
                <c:pt idx="3">
                  <c:v>7</c:v>
                </c:pt>
                <c:pt idx="4">
                  <c:v>19</c:v>
                </c:pt>
                <c:pt idx="5">
                  <c:v>17</c:v>
                </c:pt>
              </c:numCache>
            </c:numRef>
          </c:val>
          <c:extLst xmlns:c16r2="http://schemas.microsoft.com/office/drawing/2015/06/chart">
            <c:ext xmlns:c16="http://schemas.microsoft.com/office/drawing/2014/chart" uri="{C3380CC4-5D6E-409C-BE32-E72D297353CC}">
              <c16:uniqueId val="{00000007-D9AB-4D27-A248-B87DA5301137}"/>
            </c:ext>
          </c:extLst>
        </c:ser>
        <c:ser>
          <c:idx val="8"/>
          <c:order val="8"/>
          <c:tx>
            <c:strRef>
              <c:f>'Frein au marché '!$J$3</c:f>
              <c:strCache>
                <c:ptCount val="1"/>
                <c:pt idx="0">
                  <c:v>Formation marketing / négociations – FREIN</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'!$J$4:$J$9</c:f>
              <c:numCache>
                <c:formatCode>#\ ##0_ ;\-#\ ##0\ </c:formatCode>
                <c:ptCount val="6"/>
                <c:pt idx="0" formatCode="_-* #\ ##0_-;\-* #\ ##0_-;_-* &quot;-&quot;??_-;_-@_-">
                  <c:v>9</c:v>
                </c:pt>
                <c:pt idx="1">
                  <c:v>13</c:v>
                </c:pt>
                <c:pt idx="2">
                  <c:v>9</c:v>
                </c:pt>
                <c:pt idx="3">
                  <c:v>9</c:v>
                </c:pt>
                <c:pt idx="4">
                  <c:v>23</c:v>
                </c:pt>
                <c:pt idx="5">
                  <c:v>20</c:v>
                </c:pt>
              </c:numCache>
            </c:numRef>
          </c:val>
          <c:extLst xmlns:c16r2="http://schemas.microsoft.com/office/drawing/2015/06/chart">
            <c:ext xmlns:c16="http://schemas.microsoft.com/office/drawing/2014/chart" uri="{C3380CC4-5D6E-409C-BE32-E72D297353CC}">
              <c16:uniqueId val="{00000008-D9AB-4D27-A248-B87DA5301137}"/>
            </c:ext>
          </c:extLst>
        </c:ser>
        <c:ser>
          <c:idx val="9"/>
          <c:order val="9"/>
          <c:tx>
            <c:strRef>
              <c:f>'Frein au marché '!$K$3</c:f>
              <c:strCache>
                <c:ptCount val="1"/>
                <c:pt idx="0">
                  <c:v>Financement équipement – FREIN</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'!$K$4:$K$9</c:f>
              <c:numCache>
                <c:formatCode>#\ ##0_ ;\-#\ ##0\ </c:formatCode>
                <c:ptCount val="6"/>
                <c:pt idx="0" formatCode="_-* #\ ##0_-;\-* #\ ##0_-;_-* &quot;-&quot;??_-;_-@_-">
                  <c:v>14</c:v>
                </c:pt>
                <c:pt idx="1">
                  <c:v>18</c:v>
                </c:pt>
                <c:pt idx="2">
                  <c:v>9</c:v>
                </c:pt>
                <c:pt idx="3">
                  <c:v>12</c:v>
                </c:pt>
                <c:pt idx="4">
                  <c:v>24</c:v>
                </c:pt>
                <c:pt idx="5">
                  <c:v>22</c:v>
                </c:pt>
              </c:numCache>
            </c:numRef>
          </c:val>
          <c:extLst xmlns:c16r2="http://schemas.microsoft.com/office/drawing/2015/06/chart">
            <c:ext xmlns:c16="http://schemas.microsoft.com/office/drawing/2014/chart" uri="{C3380CC4-5D6E-409C-BE32-E72D297353CC}">
              <c16:uniqueId val="{00000009-D9AB-4D27-A248-B87DA5301137}"/>
            </c:ext>
          </c:extLst>
        </c:ser>
        <c:ser>
          <c:idx val="10"/>
          <c:order val="10"/>
          <c:tx>
            <c:strRef>
              <c:f>'Frein au marché '!$L$3</c:f>
              <c:strCache>
                <c:ptCount val="1"/>
                <c:pt idx="0">
                  <c:v>Financement formation normes/qualité – FREIN</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'!$L$4:$L$9</c:f>
              <c:numCache>
                <c:formatCode>#\ ##0_ ;\-#\ ##0\ </c:formatCode>
                <c:ptCount val="6"/>
                <c:pt idx="0" formatCode="_-* #\ ##0_-;\-* #\ ##0_-;_-* &quot;-&quot;??_-;_-@_-">
                  <c:v>14</c:v>
                </c:pt>
                <c:pt idx="1">
                  <c:v>18</c:v>
                </c:pt>
                <c:pt idx="2">
                  <c:v>10</c:v>
                </c:pt>
                <c:pt idx="3">
                  <c:v>12</c:v>
                </c:pt>
                <c:pt idx="4">
                  <c:v>25</c:v>
                </c:pt>
                <c:pt idx="5">
                  <c:v>22</c:v>
                </c:pt>
              </c:numCache>
            </c:numRef>
          </c:val>
          <c:extLst xmlns:c16r2="http://schemas.microsoft.com/office/drawing/2015/06/chart">
            <c:ext xmlns:c16="http://schemas.microsoft.com/office/drawing/2014/chart" uri="{C3380CC4-5D6E-409C-BE32-E72D297353CC}">
              <c16:uniqueId val="{0000000A-D9AB-4D27-A248-B87DA5301137}"/>
            </c:ext>
          </c:extLst>
        </c:ser>
        <c:ser>
          <c:idx val="11"/>
          <c:order val="11"/>
          <c:tx>
            <c:strRef>
              <c:f>'Frein au marché '!$M$3</c:f>
              <c:strCache>
                <c:ptCount val="1"/>
                <c:pt idx="0">
                  <c:v>Financement formation marketing / négociations– FREIN</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'!$M$4:$M$9</c:f>
              <c:numCache>
                <c:formatCode>#\ ##0_ ;\-#\ ##0\ </c:formatCode>
                <c:ptCount val="6"/>
                <c:pt idx="0" formatCode="_-* #\ ##0_-;\-* #\ ##0_-;_-* &quot;-&quot;??_-;_-@_-">
                  <c:v>13</c:v>
                </c:pt>
                <c:pt idx="1">
                  <c:v>18</c:v>
                </c:pt>
                <c:pt idx="2">
                  <c:v>7</c:v>
                </c:pt>
                <c:pt idx="3">
                  <c:v>9</c:v>
                </c:pt>
                <c:pt idx="4">
                  <c:v>21</c:v>
                </c:pt>
                <c:pt idx="5">
                  <c:v>18</c:v>
                </c:pt>
              </c:numCache>
            </c:numRef>
          </c:val>
          <c:extLst xmlns:c16r2="http://schemas.microsoft.com/office/drawing/2015/06/chart">
            <c:ext xmlns:c16="http://schemas.microsoft.com/office/drawing/2014/chart" uri="{C3380CC4-5D6E-409C-BE32-E72D297353CC}">
              <c16:uniqueId val="{0000000B-D9AB-4D27-A248-B87DA5301137}"/>
            </c:ext>
          </c:extLst>
        </c:ser>
        <c:ser>
          <c:idx val="12"/>
          <c:order val="12"/>
          <c:tx>
            <c:strRef>
              <c:f>'Frein au marché '!$N$3</c:f>
              <c:strCache>
                <c:ptCount val="1"/>
                <c:pt idx="0">
                  <c:v>Financement formation numérique – FREIN</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'!$N$4:$N$9</c:f>
              <c:numCache>
                <c:formatCode>#\ ##0_ ;\-#\ ##0\ </c:formatCode>
                <c:ptCount val="6"/>
                <c:pt idx="0" formatCode="_-* #\ ##0_-;\-* #\ ##0_-;_-* &quot;-&quot;??_-;_-@_-">
                  <c:v>11</c:v>
                </c:pt>
                <c:pt idx="1">
                  <c:v>17</c:v>
                </c:pt>
                <c:pt idx="2">
                  <c:v>7</c:v>
                </c:pt>
                <c:pt idx="3">
                  <c:v>8</c:v>
                </c:pt>
                <c:pt idx="4">
                  <c:v>21</c:v>
                </c:pt>
                <c:pt idx="5">
                  <c:v>18</c:v>
                </c:pt>
              </c:numCache>
            </c:numRef>
          </c:val>
          <c:extLst xmlns:c16r2="http://schemas.microsoft.com/office/drawing/2015/06/chart">
            <c:ext xmlns:c16="http://schemas.microsoft.com/office/drawing/2014/chart" uri="{C3380CC4-5D6E-409C-BE32-E72D297353CC}">
              <c16:uniqueId val="{0000000C-D9AB-4D27-A248-B87DA5301137}"/>
            </c:ext>
          </c:extLst>
        </c:ser>
        <c:ser>
          <c:idx val="13"/>
          <c:order val="13"/>
          <c:tx>
            <c:strRef>
              <c:f>'Frein au marché '!$O$3</c:f>
              <c:strCache>
                <c:ptCount val="1"/>
                <c:pt idx="0">
                  <c:v>Financement formation administrative – FREIN</c:v>
                </c:pt>
              </c:strCache>
            </c:strRef>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'!$O$4:$O$9</c:f>
              <c:numCache>
                <c:formatCode>#\ ##0_ ;\-#\ ##0\ </c:formatCode>
                <c:ptCount val="6"/>
                <c:pt idx="0" formatCode="_-* #\ ##0_-;\-* #\ ##0_-;_-* &quot;-&quot;??_-;_-@_-">
                  <c:v>13</c:v>
                </c:pt>
                <c:pt idx="1">
                  <c:v>18</c:v>
                </c:pt>
                <c:pt idx="2">
                  <c:v>10</c:v>
                </c:pt>
                <c:pt idx="3">
                  <c:v>12</c:v>
                </c:pt>
                <c:pt idx="4">
                  <c:v>25</c:v>
                </c:pt>
                <c:pt idx="5">
                  <c:v>22</c:v>
                </c:pt>
              </c:numCache>
            </c:numRef>
          </c:val>
          <c:extLst xmlns:c16r2="http://schemas.microsoft.com/office/drawing/2015/06/chart">
            <c:ext xmlns:c16="http://schemas.microsoft.com/office/drawing/2014/chart" uri="{C3380CC4-5D6E-409C-BE32-E72D297353CC}">
              <c16:uniqueId val="{0000000D-D9AB-4D27-A248-B87DA5301137}"/>
            </c:ext>
          </c:extLst>
        </c:ser>
        <c:ser>
          <c:idx val="14"/>
          <c:order val="14"/>
          <c:tx>
            <c:strRef>
              <c:f>'Frein au marché '!$P$3</c:f>
              <c:strCache>
                <c:ptCount val="1"/>
                <c:pt idx="0">
                  <c:v>Financement développement global – FREIN</c:v>
                </c:pt>
              </c:strCache>
            </c:strRef>
          </c:tx>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'!$P$4:$P$9</c:f>
              <c:numCache>
                <c:formatCode>#\ ##0_ ;\-#\ ##0\ </c:formatCode>
                <c:ptCount val="6"/>
                <c:pt idx="0" formatCode="_-* #\ ##0_-;\-* #\ ##0_-;_-* &quot;-&quot;??_-;_-@_-">
                  <c:v>14</c:v>
                </c:pt>
                <c:pt idx="1">
                  <c:v>21</c:v>
                </c:pt>
                <c:pt idx="2">
                  <c:v>10</c:v>
                </c:pt>
                <c:pt idx="3">
                  <c:v>12</c:v>
                </c:pt>
                <c:pt idx="4">
                  <c:v>25</c:v>
                </c:pt>
                <c:pt idx="5">
                  <c:v>22</c:v>
                </c:pt>
              </c:numCache>
            </c:numRef>
          </c:val>
          <c:extLst xmlns:c16r2="http://schemas.microsoft.com/office/drawing/2015/06/chart">
            <c:ext xmlns:c16="http://schemas.microsoft.com/office/drawing/2014/chart" uri="{C3380CC4-5D6E-409C-BE32-E72D297353CC}">
              <c16:uniqueId val="{0000000E-D9AB-4D27-A248-B87DA5301137}"/>
            </c:ext>
          </c:extLst>
        </c:ser>
        <c:ser>
          <c:idx val="15"/>
          <c:order val="15"/>
          <c:tx>
            <c:strRef>
              <c:f>'Frein au marché '!$Q$3</c:f>
              <c:strCache>
                <c:ptCount val="1"/>
                <c:pt idx="0">
                  <c:v>Préfinancement commandes  – FREIN</c:v>
                </c:pt>
              </c:strCache>
            </c:strRef>
          </c:tx>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au marché '!$A$4:$A$9</c:f>
              <c:strCache>
                <c:ptCount val="6"/>
                <c:pt idx="0">
                  <c:v>Marché local (village / petite ville)</c:v>
                </c:pt>
                <c:pt idx="1">
                  <c:v>Marché Grossistes / Semi-grossistes, Grandes surfaces / Supermarchés, hôtels</c:v>
                </c:pt>
                <c:pt idx="2">
                  <c:v>Marché de l’Etat : cantines, hôpitaux, écoles, ministères (commandes publiques)</c:v>
                </c:pt>
                <c:pt idx="3">
                  <c:v>Marché numérique (Facebook, Tiktok, Whatsapp, etc.)</c:v>
                </c:pt>
                <c:pt idx="4">
                  <c:v>Marché de la sous region </c:v>
                </c:pt>
                <c:pt idx="5">
                  <c:v>Marché export (à l’étranger)</c:v>
                </c:pt>
              </c:strCache>
            </c:strRef>
          </c:cat>
          <c:val>
            <c:numRef>
              <c:f>'Frein au marché '!$Q$4:$Q$9</c:f>
              <c:numCache>
                <c:formatCode>#\ ##0_ ;\-#\ ##0\ </c:formatCode>
                <c:ptCount val="6"/>
                <c:pt idx="0" formatCode="_-* #\ ##0_-;\-* #\ ##0_-;_-* &quot;-&quot;??_-;_-@_-">
                  <c:v>14</c:v>
                </c:pt>
                <c:pt idx="1">
                  <c:v>20</c:v>
                </c:pt>
                <c:pt idx="2">
                  <c:v>10</c:v>
                </c:pt>
                <c:pt idx="3">
                  <c:v>11</c:v>
                </c:pt>
                <c:pt idx="4">
                  <c:v>24</c:v>
                </c:pt>
                <c:pt idx="5">
                  <c:v>22</c:v>
                </c:pt>
              </c:numCache>
            </c:numRef>
          </c:val>
          <c:extLst xmlns:c16r2="http://schemas.microsoft.com/office/drawing/2015/06/chart">
            <c:ext xmlns:c16="http://schemas.microsoft.com/office/drawing/2014/chart" uri="{C3380CC4-5D6E-409C-BE32-E72D297353CC}">
              <c16:uniqueId val="{0000000F-D9AB-4D27-A248-B87DA5301137}"/>
            </c:ext>
          </c:extLst>
        </c:ser>
        <c:dLbls>
          <c:showLegendKey val="0"/>
          <c:showVal val="1"/>
          <c:showCatName val="0"/>
          <c:showSerName val="0"/>
          <c:showPercent val="0"/>
          <c:showBubbleSize val="0"/>
        </c:dLbls>
        <c:gapWidth val="150"/>
        <c:shape val="box"/>
        <c:axId val="1860234336"/>
        <c:axId val="1860240320"/>
        <c:axId val="0"/>
      </c:bar3DChart>
      <c:catAx>
        <c:axId val="1860234336"/>
        <c:scaling>
          <c:orientation val="minMax"/>
        </c:scaling>
        <c:delete val="0"/>
        <c:axPos val="b"/>
        <c:title>
          <c:overlay val="0"/>
          <c:spPr>
            <a:noFill/>
            <a:ln>
              <a:noFill/>
            </a:ln>
            <a:effectLst/>
          </c:spPr>
          <c:txPr>
            <a:bodyPr rot="0" spcFirstLastPara="1" vertOverflow="ellipsis" vert="horz" wrap="square" anchor="ctr" anchorCtr="1"/>
            <a:lstStyle/>
            <a:p>
              <a:pPr algn="ctr">
                <a:defRPr lang="fr-FR" sz="900" b="1" i="0" u="none" strike="noStrike" kern="1200" baseline="0">
                  <a:solidFill>
                    <a:schemeClr val="bg1"/>
                  </a:solidFill>
                  <a:latin typeface="+mn-lt"/>
                  <a:ea typeface="+mn-ea"/>
                  <a:cs typeface="+mn-cs"/>
                </a:defRPr>
              </a:pPr>
              <a:endParaRPr lang="fr-F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0240320"/>
        <c:crosses val="autoZero"/>
        <c:auto val="1"/>
        <c:lblAlgn val="ctr"/>
        <c:lblOffset val="100"/>
        <c:noMultiLvlLbl val="0"/>
      </c:catAx>
      <c:valAx>
        <c:axId val="1860240320"/>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023433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Marché local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'Frein  marché par fillié NV 1  '!$A$4</c:f>
              <c:strCache>
                <c:ptCount val="1"/>
                <c:pt idx="0">
                  <c:v>Fruits et légumes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1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1  '!$B$4:$Q$4</c:f>
              <c:numCache>
                <c:formatCode>#\ ##0_ ;\-#\ ##0\ </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xmlns:c16r2="http://schemas.microsoft.com/office/drawing/2015/06/chart">
            <c:ext xmlns:c16="http://schemas.microsoft.com/office/drawing/2014/chart" uri="{C3380CC4-5D6E-409C-BE32-E72D297353CC}">
              <c16:uniqueId val="{00000000-A639-4473-AE1F-3A6D7059D85B}"/>
            </c:ext>
          </c:extLst>
        </c:ser>
        <c:ser>
          <c:idx val="1"/>
          <c:order val="1"/>
          <c:tx>
            <c:strRef>
              <c:f>'Frein  marché par fillié NV 1  '!$A$5</c:f>
              <c:strCache>
                <c:ptCount val="1"/>
                <c:pt idx="0">
                  <c:v>Volaile de chair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1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1  '!$B$5:$Q$5</c:f>
              <c:numCache>
                <c:formatCode>#\ ##0_ ;\-#\ ##0\ </c:formatCode>
                <c:ptCount val="16"/>
                <c:pt idx="0">
                  <c:v>6</c:v>
                </c:pt>
                <c:pt idx="1">
                  <c:v>5</c:v>
                </c:pt>
                <c:pt idx="2">
                  <c:v>6</c:v>
                </c:pt>
                <c:pt idx="3">
                  <c:v>3</c:v>
                </c:pt>
                <c:pt idx="4">
                  <c:v>3</c:v>
                </c:pt>
                <c:pt idx="5">
                  <c:v>3</c:v>
                </c:pt>
                <c:pt idx="6">
                  <c:v>4</c:v>
                </c:pt>
                <c:pt idx="7">
                  <c:v>2</c:v>
                </c:pt>
                <c:pt idx="8">
                  <c:v>2</c:v>
                </c:pt>
                <c:pt idx="9">
                  <c:v>6</c:v>
                </c:pt>
                <c:pt idx="10">
                  <c:v>6</c:v>
                </c:pt>
                <c:pt idx="11">
                  <c:v>6</c:v>
                </c:pt>
                <c:pt idx="12">
                  <c:v>4</c:v>
                </c:pt>
                <c:pt idx="13">
                  <c:v>5</c:v>
                </c:pt>
                <c:pt idx="14">
                  <c:v>6</c:v>
                </c:pt>
                <c:pt idx="15">
                  <c:v>6</c:v>
                </c:pt>
              </c:numCache>
            </c:numRef>
          </c:val>
          <c:extLst xmlns:c16r2="http://schemas.microsoft.com/office/drawing/2015/06/chart">
            <c:ext xmlns:c16="http://schemas.microsoft.com/office/drawing/2014/chart" uri="{C3380CC4-5D6E-409C-BE32-E72D297353CC}">
              <c16:uniqueId val="{00000001-A639-4473-AE1F-3A6D7059D85B}"/>
            </c:ext>
          </c:extLst>
        </c:ser>
        <c:ser>
          <c:idx val="2"/>
          <c:order val="2"/>
          <c:tx>
            <c:strRef>
              <c:f>'Frein  marché par fillié NV 1  '!$A$6</c:f>
              <c:strCache>
                <c:ptCount val="1"/>
                <c:pt idx="0">
                  <c:v>Lait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1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1  '!$B$6:$Q$6</c:f>
              <c:numCache>
                <c:formatCode>#\ ##0_ ;\-#\ ##0\ </c:formatCode>
                <c:ptCount val="16"/>
                <c:pt idx="0">
                  <c:v>2</c:v>
                </c:pt>
                <c:pt idx="1">
                  <c:v>0</c:v>
                </c:pt>
                <c:pt idx="2">
                  <c:v>0</c:v>
                </c:pt>
                <c:pt idx="3">
                  <c:v>2</c:v>
                </c:pt>
                <c:pt idx="4">
                  <c:v>2</c:v>
                </c:pt>
                <c:pt idx="5">
                  <c:v>2</c:v>
                </c:pt>
                <c:pt idx="6">
                  <c:v>2</c:v>
                </c:pt>
                <c:pt idx="7">
                  <c:v>2</c:v>
                </c:pt>
                <c:pt idx="8">
                  <c:v>2</c:v>
                </c:pt>
                <c:pt idx="9">
                  <c:v>2</c:v>
                </c:pt>
                <c:pt idx="10">
                  <c:v>2</c:v>
                </c:pt>
                <c:pt idx="11">
                  <c:v>2</c:v>
                </c:pt>
                <c:pt idx="12">
                  <c:v>2</c:v>
                </c:pt>
                <c:pt idx="13">
                  <c:v>2</c:v>
                </c:pt>
                <c:pt idx="14">
                  <c:v>2</c:v>
                </c:pt>
                <c:pt idx="15">
                  <c:v>2</c:v>
                </c:pt>
              </c:numCache>
            </c:numRef>
          </c:val>
          <c:extLst xmlns:c16r2="http://schemas.microsoft.com/office/drawing/2015/06/chart">
            <c:ext xmlns:c16="http://schemas.microsoft.com/office/drawing/2014/chart" uri="{C3380CC4-5D6E-409C-BE32-E72D297353CC}">
              <c16:uniqueId val="{00000002-A639-4473-AE1F-3A6D7059D85B}"/>
            </c:ext>
          </c:extLst>
        </c:ser>
        <c:ser>
          <c:idx val="3"/>
          <c:order val="3"/>
          <c:tx>
            <c:strRef>
              <c:f>'Frein  marché par fillié NV 1  '!$A$7</c:f>
              <c:strCache>
                <c:ptCount val="1"/>
                <c:pt idx="0">
                  <c:v>Manioc et autres tubercules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1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1  '!$B$7:$Q$7</c:f>
              <c:numCache>
                <c:formatCode>#\ ##0_ ;\-#\ ##0\ </c:formatCode>
                <c:ptCount val="16"/>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numCache>
            </c:numRef>
          </c:val>
          <c:extLst xmlns:c16r2="http://schemas.microsoft.com/office/drawing/2015/06/chart">
            <c:ext xmlns:c16="http://schemas.microsoft.com/office/drawing/2014/chart" uri="{C3380CC4-5D6E-409C-BE32-E72D297353CC}">
              <c16:uniqueId val="{00000003-A639-4473-AE1F-3A6D7059D85B}"/>
            </c:ext>
          </c:extLst>
        </c:ser>
        <c:ser>
          <c:idx val="4"/>
          <c:order val="4"/>
          <c:tx>
            <c:strRef>
              <c:f>'Frein  marché par fillié NV 1  '!$A$8</c:f>
              <c:strCache>
                <c:ptCount val="1"/>
                <c:pt idx="0">
                  <c:v>Poisson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1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1  '!$B$8:$Q$8</c:f>
              <c:numCache>
                <c:formatCode>#\ ##0_ ;\-#\ ##0\ </c:formatCode>
                <c:ptCount val="16"/>
                <c:pt idx="0">
                  <c:v>2</c:v>
                </c:pt>
                <c:pt idx="1">
                  <c:v>2</c:v>
                </c:pt>
                <c:pt idx="2">
                  <c:v>2</c:v>
                </c:pt>
                <c:pt idx="3">
                  <c:v>2</c:v>
                </c:pt>
                <c:pt idx="4">
                  <c:v>2</c:v>
                </c:pt>
                <c:pt idx="5">
                  <c:v>3</c:v>
                </c:pt>
                <c:pt idx="6">
                  <c:v>3</c:v>
                </c:pt>
                <c:pt idx="7">
                  <c:v>3</c:v>
                </c:pt>
                <c:pt idx="8">
                  <c:v>3</c:v>
                </c:pt>
                <c:pt idx="9">
                  <c:v>3</c:v>
                </c:pt>
                <c:pt idx="10">
                  <c:v>3</c:v>
                </c:pt>
                <c:pt idx="11">
                  <c:v>3</c:v>
                </c:pt>
                <c:pt idx="12">
                  <c:v>3</c:v>
                </c:pt>
                <c:pt idx="13">
                  <c:v>3</c:v>
                </c:pt>
                <c:pt idx="14">
                  <c:v>3</c:v>
                </c:pt>
                <c:pt idx="15">
                  <c:v>3</c:v>
                </c:pt>
              </c:numCache>
            </c:numRef>
          </c:val>
          <c:extLst xmlns:c16r2="http://schemas.microsoft.com/office/drawing/2015/06/chart">
            <c:ext xmlns:c16="http://schemas.microsoft.com/office/drawing/2014/chart" uri="{C3380CC4-5D6E-409C-BE32-E72D297353CC}">
              <c16:uniqueId val="{00000004-A639-4473-AE1F-3A6D7059D85B}"/>
            </c:ext>
          </c:extLst>
        </c:ser>
        <c:ser>
          <c:idx val="5"/>
          <c:order val="5"/>
          <c:tx>
            <c:strRef>
              <c:f>'Frein  marché par fillié NV 1  '!$A$9</c:f>
              <c:strCache>
                <c:ptCount val="1"/>
                <c:pt idx="0">
                  <c:v>Huile de palme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1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1  '!$B$9:$Q$9</c:f>
              <c:numCache>
                <c:formatCode>#\ ##0_ ;\-#\ ##0\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5-A639-4473-AE1F-3A6D7059D85B}"/>
            </c:ext>
          </c:extLst>
        </c:ser>
        <c:ser>
          <c:idx val="6"/>
          <c:order val="6"/>
          <c:tx>
            <c:strRef>
              <c:f>'Frein  marché par fillié NV 1  '!$A$10</c:f>
              <c:strCache>
                <c:ptCount val="1"/>
                <c:pt idx="0">
                  <c:v>Plantain</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1  '!$B$3:$Q$3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1  '!$B$10:$Q$10</c:f>
              <c:numCache>
                <c:formatCode>#\ ##0_ ;\-#\ ##0\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6-A639-4473-AE1F-3A6D7059D85B}"/>
            </c:ext>
          </c:extLst>
        </c:ser>
        <c:dLbls>
          <c:dLblPos val="ctr"/>
          <c:showLegendKey val="0"/>
          <c:showVal val="1"/>
          <c:showCatName val="0"/>
          <c:showSerName val="0"/>
          <c:showPercent val="0"/>
          <c:showBubbleSize val="0"/>
        </c:dLbls>
        <c:gapWidth val="150"/>
        <c:overlap val="100"/>
        <c:axId val="1860239776"/>
        <c:axId val="1860242496"/>
      </c:barChart>
      <c:catAx>
        <c:axId val="1860239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0242496"/>
        <c:crosses val="autoZero"/>
        <c:auto val="1"/>
        <c:lblAlgn val="ctr"/>
        <c:lblOffset val="100"/>
        <c:noMultiLvlLbl val="0"/>
      </c:catAx>
      <c:valAx>
        <c:axId val="1860242496"/>
        <c:scaling>
          <c:orientation val="minMax"/>
        </c:scaling>
        <c:delete val="0"/>
        <c:axPos val="l"/>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60239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FILLIERRES!$C$5</c:f>
              <c:strCache>
                <c:ptCount val="1"/>
                <c:pt idx="0">
                  <c:v>Fruits et légumes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FILLIERRES!$D$5</c:f>
              <c:numCache>
                <c:formatCode>General</c:formatCode>
                <c:ptCount val="1"/>
                <c:pt idx="0">
                  <c:v>10</c:v>
                </c:pt>
              </c:numCache>
            </c:numRef>
          </c:val>
          <c:extLst xmlns:c16r2="http://schemas.microsoft.com/office/drawing/2015/06/chart">
            <c:ext xmlns:c16="http://schemas.microsoft.com/office/drawing/2014/chart" uri="{C3380CC4-5D6E-409C-BE32-E72D297353CC}">
              <c16:uniqueId val="{00000000-370D-4070-AD5B-2FA769214368}"/>
            </c:ext>
          </c:extLst>
        </c:ser>
        <c:ser>
          <c:idx val="1"/>
          <c:order val="1"/>
          <c:tx>
            <c:strRef>
              <c:f>FILLIERRES!$C$6</c:f>
              <c:strCache>
                <c:ptCount val="1"/>
                <c:pt idx="0">
                  <c:v>Volaile de chair</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FILLIERRES!$D$6</c:f>
              <c:numCache>
                <c:formatCode>General</c:formatCode>
                <c:ptCount val="1"/>
                <c:pt idx="0">
                  <c:v>10</c:v>
                </c:pt>
              </c:numCache>
            </c:numRef>
          </c:val>
          <c:extLst xmlns:c16r2="http://schemas.microsoft.com/office/drawing/2015/06/chart">
            <c:ext xmlns:c16="http://schemas.microsoft.com/office/drawing/2014/chart" uri="{C3380CC4-5D6E-409C-BE32-E72D297353CC}">
              <c16:uniqueId val="{00000001-370D-4070-AD5B-2FA769214368}"/>
            </c:ext>
          </c:extLst>
        </c:ser>
        <c:ser>
          <c:idx val="2"/>
          <c:order val="2"/>
          <c:tx>
            <c:strRef>
              <c:f>FILLIERRES!$C$7</c:f>
              <c:strCache>
                <c:ptCount val="1"/>
                <c:pt idx="0">
                  <c:v>Lait</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FILLIERRES!$D$7</c:f>
              <c:numCache>
                <c:formatCode>General</c:formatCode>
                <c:ptCount val="1"/>
                <c:pt idx="0">
                  <c:v>4</c:v>
                </c:pt>
              </c:numCache>
            </c:numRef>
          </c:val>
          <c:extLst xmlns:c16r2="http://schemas.microsoft.com/office/drawing/2015/06/chart">
            <c:ext xmlns:c16="http://schemas.microsoft.com/office/drawing/2014/chart" uri="{C3380CC4-5D6E-409C-BE32-E72D297353CC}">
              <c16:uniqueId val="{00000002-370D-4070-AD5B-2FA769214368}"/>
            </c:ext>
          </c:extLst>
        </c:ser>
        <c:ser>
          <c:idx val="3"/>
          <c:order val="3"/>
          <c:tx>
            <c:strRef>
              <c:f>FILLIERRES!$C$8</c:f>
              <c:strCache>
                <c:ptCount val="1"/>
                <c:pt idx="0">
                  <c:v>Manioc et autres tubercules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FILLIERRES!$D$8</c:f>
              <c:numCache>
                <c:formatCode>General</c:formatCode>
                <c:ptCount val="1"/>
                <c:pt idx="0">
                  <c:v>10</c:v>
                </c:pt>
              </c:numCache>
            </c:numRef>
          </c:val>
          <c:extLst xmlns:c16r2="http://schemas.microsoft.com/office/drawing/2015/06/chart">
            <c:ext xmlns:c16="http://schemas.microsoft.com/office/drawing/2014/chart" uri="{C3380CC4-5D6E-409C-BE32-E72D297353CC}">
              <c16:uniqueId val="{00000003-370D-4070-AD5B-2FA769214368}"/>
            </c:ext>
          </c:extLst>
        </c:ser>
        <c:ser>
          <c:idx val="4"/>
          <c:order val="4"/>
          <c:tx>
            <c:strRef>
              <c:f>FILLIERRES!$C$9</c:f>
              <c:strCache>
                <c:ptCount val="1"/>
                <c:pt idx="0">
                  <c:v>Poisson </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FILLIERRES!$D$9</c:f>
              <c:numCache>
                <c:formatCode>General</c:formatCode>
                <c:ptCount val="1"/>
                <c:pt idx="0">
                  <c:v>9</c:v>
                </c:pt>
              </c:numCache>
            </c:numRef>
          </c:val>
          <c:extLst xmlns:c16r2="http://schemas.microsoft.com/office/drawing/2015/06/chart">
            <c:ext xmlns:c16="http://schemas.microsoft.com/office/drawing/2014/chart" uri="{C3380CC4-5D6E-409C-BE32-E72D297353CC}">
              <c16:uniqueId val="{00000004-370D-4070-AD5B-2FA769214368}"/>
            </c:ext>
          </c:extLst>
        </c:ser>
        <c:ser>
          <c:idx val="5"/>
          <c:order val="5"/>
          <c:tx>
            <c:strRef>
              <c:f>FILLIERRES!$C$10</c:f>
              <c:strCache>
                <c:ptCount val="1"/>
                <c:pt idx="0">
                  <c:v>Huile de palme</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FILLIERRES!$D$10</c:f>
              <c:numCache>
                <c:formatCode>General</c:formatCode>
                <c:ptCount val="1"/>
                <c:pt idx="0">
                  <c:v>3</c:v>
                </c:pt>
              </c:numCache>
            </c:numRef>
          </c:val>
          <c:extLst xmlns:c16r2="http://schemas.microsoft.com/office/drawing/2015/06/chart">
            <c:ext xmlns:c16="http://schemas.microsoft.com/office/drawing/2014/chart" uri="{C3380CC4-5D6E-409C-BE32-E72D297353CC}">
              <c16:uniqueId val="{00000005-370D-4070-AD5B-2FA769214368}"/>
            </c:ext>
          </c:extLst>
        </c:ser>
        <c:ser>
          <c:idx val="6"/>
          <c:order val="6"/>
          <c:tx>
            <c:strRef>
              <c:f>FILLIERRES!$C$11</c:f>
              <c:strCache>
                <c:ptCount val="1"/>
                <c:pt idx="0">
                  <c:v>Plantain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FILLIERRES!$D$11</c:f>
              <c:numCache>
                <c:formatCode>General</c:formatCode>
                <c:ptCount val="1"/>
                <c:pt idx="0">
                  <c:v>3</c:v>
                </c:pt>
              </c:numCache>
            </c:numRef>
          </c:val>
          <c:extLst xmlns:c16r2="http://schemas.microsoft.com/office/drawing/2015/06/chart">
            <c:ext xmlns:c16="http://schemas.microsoft.com/office/drawing/2014/chart" uri="{C3380CC4-5D6E-409C-BE32-E72D297353CC}">
              <c16:uniqueId val="{00000006-370D-4070-AD5B-2FA769214368}"/>
            </c:ext>
          </c:extLst>
        </c:ser>
        <c:dLbls>
          <c:dLblPos val="inEnd"/>
          <c:showLegendKey val="0"/>
          <c:showVal val="1"/>
          <c:showCatName val="0"/>
          <c:showSerName val="0"/>
          <c:showPercent val="0"/>
          <c:showBubbleSize val="0"/>
        </c:dLbls>
        <c:gapWidth val="182"/>
        <c:axId val="1860232160"/>
        <c:axId val="1860233792"/>
      </c:barChart>
      <c:catAx>
        <c:axId val="1860232160"/>
        <c:scaling>
          <c:orientation val="minMax"/>
        </c:scaling>
        <c:delete val="1"/>
        <c:axPos val="l"/>
        <c:numFmt formatCode="General" sourceLinked="1"/>
        <c:majorTickMark val="none"/>
        <c:minorTickMark val="none"/>
        <c:tickLblPos val="nextTo"/>
        <c:crossAx val="1860233792"/>
        <c:crosses val="autoZero"/>
        <c:auto val="1"/>
        <c:lblAlgn val="ctr"/>
        <c:lblOffset val="100"/>
        <c:noMultiLvlLbl val="0"/>
      </c:catAx>
      <c:valAx>
        <c:axId val="1860233792"/>
        <c:scaling>
          <c:orientation val="minMax"/>
        </c:scaling>
        <c:delete val="1"/>
        <c:axPos val="b"/>
        <c:numFmt formatCode="General" sourceLinked="1"/>
        <c:majorTickMark val="none"/>
        <c:minorTickMark val="none"/>
        <c:tickLblPos val="nextTo"/>
        <c:crossAx val="186023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bg1"/>
          </a:solidFill>
          <a:latin typeface="+mn-lt"/>
          <a:ea typeface="+mn-ea"/>
          <a:cs typeface="+mn-cs"/>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Marché de grossistes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'Frein  marché par fillié NV (2)'!$A$4</c:f>
              <c:strCache>
                <c:ptCount val="1"/>
                <c:pt idx="0">
                  <c:v>Fruits et légumes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(2)'!$B$3:$Q$3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(2)'!$B$4:$Q$4</c:f>
              <c:numCache>
                <c:formatCode>#\ ##0_ ;\-#\ ##0\ </c:formatCode>
                <c:ptCount val="16"/>
                <c:pt idx="0">
                  <c:v>2</c:v>
                </c:pt>
                <c:pt idx="1">
                  <c:v>1</c:v>
                </c:pt>
                <c:pt idx="2">
                  <c:v>2</c:v>
                </c:pt>
                <c:pt idx="3">
                  <c:v>4</c:v>
                </c:pt>
                <c:pt idx="4">
                  <c:v>3</c:v>
                </c:pt>
                <c:pt idx="5">
                  <c:v>2</c:v>
                </c:pt>
                <c:pt idx="6">
                  <c:v>2</c:v>
                </c:pt>
                <c:pt idx="7">
                  <c:v>2</c:v>
                </c:pt>
                <c:pt idx="8">
                  <c:v>2</c:v>
                </c:pt>
                <c:pt idx="9">
                  <c:v>4</c:v>
                </c:pt>
                <c:pt idx="10">
                  <c:v>2</c:v>
                </c:pt>
                <c:pt idx="11">
                  <c:v>3</c:v>
                </c:pt>
                <c:pt idx="12">
                  <c:v>3</c:v>
                </c:pt>
                <c:pt idx="13">
                  <c:v>3</c:v>
                </c:pt>
                <c:pt idx="14">
                  <c:v>4</c:v>
                </c:pt>
                <c:pt idx="15">
                  <c:v>4</c:v>
                </c:pt>
              </c:numCache>
            </c:numRef>
          </c:val>
          <c:extLst xmlns:c16r2="http://schemas.microsoft.com/office/drawing/2015/06/chart">
            <c:ext xmlns:c16="http://schemas.microsoft.com/office/drawing/2014/chart" uri="{C3380CC4-5D6E-409C-BE32-E72D297353CC}">
              <c16:uniqueId val="{00000000-FD8E-4B18-980B-28B3B7A11765}"/>
            </c:ext>
          </c:extLst>
        </c:ser>
        <c:ser>
          <c:idx val="1"/>
          <c:order val="1"/>
          <c:tx>
            <c:strRef>
              <c:f>'Frein  marché par fillié NV (2)'!$A$5</c:f>
              <c:strCache>
                <c:ptCount val="1"/>
                <c:pt idx="0">
                  <c:v>Volaile de chair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(2)'!$B$3:$Q$3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(2)'!$B$5:$Q$5</c:f>
              <c:numCache>
                <c:formatCode>#\ ##0_ ;\-#\ ##0\ </c:formatCode>
                <c:ptCount val="16"/>
                <c:pt idx="0">
                  <c:v>4</c:v>
                </c:pt>
                <c:pt idx="1">
                  <c:v>3</c:v>
                </c:pt>
                <c:pt idx="2">
                  <c:v>2</c:v>
                </c:pt>
                <c:pt idx="3">
                  <c:v>5</c:v>
                </c:pt>
                <c:pt idx="4">
                  <c:v>5</c:v>
                </c:pt>
                <c:pt idx="5">
                  <c:v>2</c:v>
                </c:pt>
                <c:pt idx="6">
                  <c:v>1</c:v>
                </c:pt>
                <c:pt idx="7">
                  <c:v>1</c:v>
                </c:pt>
                <c:pt idx="8">
                  <c:v>1</c:v>
                </c:pt>
                <c:pt idx="9">
                  <c:v>3</c:v>
                </c:pt>
                <c:pt idx="10">
                  <c:v>3</c:v>
                </c:pt>
                <c:pt idx="11">
                  <c:v>3</c:v>
                </c:pt>
                <c:pt idx="12">
                  <c:v>3</c:v>
                </c:pt>
                <c:pt idx="13">
                  <c:v>3</c:v>
                </c:pt>
                <c:pt idx="14">
                  <c:v>4</c:v>
                </c:pt>
                <c:pt idx="15">
                  <c:v>3</c:v>
                </c:pt>
              </c:numCache>
            </c:numRef>
          </c:val>
          <c:extLst xmlns:c16r2="http://schemas.microsoft.com/office/drawing/2015/06/chart">
            <c:ext xmlns:c16="http://schemas.microsoft.com/office/drawing/2014/chart" uri="{C3380CC4-5D6E-409C-BE32-E72D297353CC}">
              <c16:uniqueId val="{00000001-FD8E-4B18-980B-28B3B7A11765}"/>
            </c:ext>
          </c:extLst>
        </c:ser>
        <c:ser>
          <c:idx val="2"/>
          <c:order val="2"/>
          <c:tx>
            <c:strRef>
              <c:f>'Frein  marché par fillié NV (2)'!$A$6</c:f>
              <c:strCache>
                <c:ptCount val="1"/>
                <c:pt idx="0">
                  <c:v>Lait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(2)'!$B$3:$Q$3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(2)'!$B$6:$Q$6</c:f>
              <c:numCache>
                <c:formatCode>#\ ##0_ ;\-#\ ##0\ </c:formatCode>
                <c:ptCount val="16"/>
                <c:pt idx="0">
                  <c:v>3</c:v>
                </c:pt>
                <c:pt idx="1">
                  <c:v>3</c:v>
                </c:pt>
                <c:pt idx="2">
                  <c:v>2</c:v>
                </c:pt>
                <c:pt idx="3">
                  <c:v>3</c:v>
                </c:pt>
                <c:pt idx="4">
                  <c:v>3</c:v>
                </c:pt>
                <c:pt idx="5">
                  <c:v>3</c:v>
                </c:pt>
                <c:pt idx="6">
                  <c:v>3</c:v>
                </c:pt>
                <c:pt idx="7">
                  <c:v>3</c:v>
                </c:pt>
                <c:pt idx="8">
                  <c:v>3</c:v>
                </c:pt>
                <c:pt idx="9">
                  <c:v>3</c:v>
                </c:pt>
                <c:pt idx="10">
                  <c:v>3</c:v>
                </c:pt>
                <c:pt idx="11">
                  <c:v>3</c:v>
                </c:pt>
                <c:pt idx="12">
                  <c:v>3</c:v>
                </c:pt>
                <c:pt idx="13">
                  <c:v>3</c:v>
                </c:pt>
                <c:pt idx="14">
                  <c:v>3</c:v>
                </c:pt>
                <c:pt idx="15">
                  <c:v>3</c:v>
                </c:pt>
              </c:numCache>
            </c:numRef>
          </c:val>
          <c:extLst xmlns:c16r2="http://schemas.microsoft.com/office/drawing/2015/06/chart">
            <c:ext xmlns:c16="http://schemas.microsoft.com/office/drawing/2014/chart" uri="{C3380CC4-5D6E-409C-BE32-E72D297353CC}">
              <c16:uniqueId val="{00000002-FD8E-4B18-980B-28B3B7A11765}"/>
            </c:ext>
          </c:extLst>
        </c:ser>
        <c:ser>
          <c:idx val="3"/>
          <c:order val="3"/>
          <c:tx>
            <c:strRef>
              <c:f>'Frein  marché par fillié NV (2)'!$A$7</c:f>
              <c:strCache>
                <c:ptCount val="1"/>
                <c:pt idx="0">
                  <c:v>Manioc et autres tubercules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(2)'!$B$3:$Q$3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(2)'!$B$7:$Q$7</c:f>
              <c:numCache>
                <c:formatCode>#\ ##0_ ;\-#\ ##0\ </c:formatCode>
                <c:ptCount val="16"/>
                <c:pt idx="0">
                  <c:v>5</c:v>
                </c:pt>
                <c:pt idx="1">
                  <c:v>4</c:v>
                </c:pt>
                <c:pt idx="2">
                  <c:v>4</c:v>
                </c:pt>
                <c:pt idx="3">
                  <c:v>5</c:v>
                </c:pt>
                <c:pt idx="4">
                  <c:v>4</c:v>
                </c:pt>
                <c:pt idx="5">
                  <c:v>2</c:v>
                </c:pt>
                <c:pt idx="6">
                  <c:v>2</c:v>
                </c:pt>
                <c:pt idx="7">
                  <c:v>2</c:v>
                </c:pt>
                <c:pt idx="8">
                  <c:v>2</c:v>
                </c:pt>
                <c:pt idx="9">
                  <c:v>3</c:v>
                </c:pt>
                <c:pt idx="10">
                  <c:v>4</c:v>
                </c:pt>
                <c:pt idx="11">
                  <c:v>5</c:v>
                </c:pt>
                <c:pt idx="12">
                  <c:v>4</c:v>
                </c:pt>
                <c:pt idx="13">
                  <c:v>4</c:v>
                </c:pt>
                <c:pt idx="14">
                  <c:v>5</c:v>
                </c:pt>
                <c:pt idx="15">
                  <c:v>5</c:v>
                </c:pt>
              </c:numCache>
            </c:numRef>
          </c:val>
          <c:extLst xmlns:c16r2="http://schemas.microsoft.com/office/drawing/2015/06/chart">
            <c:ext xmlns:c16="http://schemas.microsoft.com/office/drawing/2014/chart" uri="{C3380CC4-5D6E-409C-BE32-E72D297353CC}">
              <c16:uniqueId val="{00000003-FD8E-4B18-980B-28B3B7A11765}"/>
            </c:ext>
          </c:extLst>
        </c:ser>
        <c:ser>
          <c:idx val="4"/>
          <c:order val="4"/>
          <c:tx>
            <c:strRef>
              <c:f>'Frein  marché par fillié NV (2)'!$A$8</c:f>
              <c:strCache>
                <c:ptCount val="1"/>
                <c:pt idx="0">
                  <c:v>Poisson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(2)'!$B$3:$Q$3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(2)'!$B$8:$Q$8</c:f>
              <c:numCache>
                <c:formatCode>#\ ##0_ ;\-#\ ##0\ </c:formatCode>
                <c:ptCount val="16"/>
                <c:pt idx="0">
                  <c:v>3</c:v>
                </c:pt>
                <c:pt idx="1">
                  <c:v>3</c:v>
                </c:pt>
                <c:pt idx="2">
                  <c:v>3</c:v>
                </c:pt>
                <c:pt idx="3">
                  <c:v>4</c:v>
                </c:pt>
                <c:pt idx="4">
                  <c:v>4</c:v>
                </c:pt>
                <c:pt idx="5">
                  <c:v>4</c:v>
                </c:pt>
                <c:pt idx="6">
                  <c:v>4</c:v>
                </c:pt>
                <c:pt idx="7">
                  <c:v>4</c:v>
                </c:pt>
                <c:pt idx="8">
                  <c:v>4</c:v>
                </c:pt>
                <c:pt idx="9">
                  <c:v>4</c:v>
                </c:pt>
                <c:pt idx="10">
                  <c:v>4</c:v>
                </c:pt>
                <c:pt idx="11">
                  <c:v>4</c:v>
                </c:pt>
                <c:pt idx="12">
                  <c:v>4</c:v>
                </c:pt>
                <c:pt idx="13">
                  <c:v>4</c:v>
                </c:pt>
                <c:pt idx="14">
                  <c:v>4</c:v>
                </c:pt>
                <c:pt idx="15">
                  <c:v>4</c:v>
                </c:pt>
              </c:numCache>
            </c:numRef>
          </c:val>
          <c:extLst xmlns:c16r2="http://schemas.microsoft.com/office/drawing/2015/06/chart">
            <c:ext xmlns:c16="http://schemas.microsoft.com/office/drawing/2014/chart" uri="{C3380CC4-5D6E-409C-BE32-E72D297353CC}">
              <c16:uniqueId val="{00000004-FD8E-4B18-980B-28B3B7A11765}"/>
            </c:ext>
          </c:extLst>
        </c:ser>
        <c:ser>
          <c:idx val="5"/>
          <c:order val="5"/>
          <c:tx>
            <c:strRef>
              <c:f>'Frein  marché par fillié NV (2)'!$A$9</c:f>
              <c:strCache>
                <c:ptCount val="1"/>
                <c:pt idx="0">
                  <c:v>Huile de palme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(2)'!$B$3:$Q$3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(2)'!$B$9:$Q$9</c:f>
              <c:numCache>
                <c:formatCode>#\ ##0_ ;\-#\ ##0\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5-FD8E-4B18-980B-28B3B7A11765}"/>
            </c:ext>
          </c:extLst>
        </c:ser>
        <c:ser>
          <c:idx val="6"/>
          <c:order val="6"/>
          <c:tx>
            <c:strRef>
              <c:f>'Frein  marché par fillié NV (2)'!$A$10</c:f>
              <c:strCache>
                <c:ptCount val="1"/>
                <c:pt idx="0">
                  <c:v>Plantain</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(2)'!$B$3:$Q$3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(2)'!$B$10:$Q$10</c:f>
              <c:numCache>
                <c:formatCode>#\ ##0_ ;\-#\ ##0\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6-FD8E-4B18-980B-28B3B7A11765}"/>
            </c:ext>
          </c:extLst>
        </c:ser>
        <c:dLbls>
          <c:dLblPos val="ctr"/>
          <c:showLegendKey val="0"/>
          <c:showVal val="1"/>
          <c:showCatName val="0"/>
          <c:showSerName val="0"/>
          <c:showPercent val="0"/>
          <c:showBubbleSize val="0"/>
        </c:dLbls>
        <c:gapWidth val="150"/>
        <c:overlap val="100"/>
        <c:axId val="1920674064"/>
        <c:axId val="1920674608"/>
      </c:barChart>
      <c:catAx>
        <c:axId val="1920674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0674608"/>
        <c:crosses val="autoZero"/>
        <c:auto val="1"/>
        <c:lblAlgn val="ctr"/>
        <c:lblOffset val="100"/>
        <c:noMultiLvlLbl val="0"/>
      </c:catAx>
      <c:valAx>
        <c:axId val="1920674608"/>
        <c:scaling>
          <c:orientation val="minMax"/>
        </c:scaling>
        <c:delete val="0"/>
        <c:axPos val="l"/>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0674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Marché de l'Etat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'Frein  marché par fillié NV (3)'!$A$4</c:f>
              <c:strCache>
                <c:ptCount val="1"/>
                <c:pt idx="0">
                  <c:v>Fruits et légumes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(3)'!$B$3:$Q$3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(3)'!$B$4:$Q$4</c:f>
              <c:numCache>
                <c:formatCode>#\ ##0_ ;\-#\ ##0\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8219-4786-86D3-F7ECA879B969}"/>
            </c:ext>
          </c:extLst>
        </c:ser>
        <c:ser>
          <c:idx val="1"/>
          <c:order val="1"/>
          <c:tx>
            <c:strRef>
              <c:f>'Frein  marché par fillié NV (3)'!$A$5</c:f>
              <c:strCache>
                <c:ptCount val="1"/>
                <c:pt idx="0">
                  <c:v>Volaile de chair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(3)'!$B$3:$Q$3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(3)'!$B$5:$Q$5</c:f>
              <c:numCache>
                <c:formatCode>#\ ##0_ ;\-#\ ##0\ </c:formatCode>
                <c:ptCount val="16"/>
                <c:pt idx="0">
                  <c:v>2</c:v>
                </c:pt>
                <c:pt idx="1">
                  <c:v>2</c:v>
                </c:pt>
                <c:pt idx="2">
                  <c:v>2</c:v>
                </c:pt>
                <c:pt idx="3">
                  <c:v>0</c:v>
                </c:pt>
                <c:pt idx="4">
                  <c:v>0</c:v>
                </c:pt>
                <c:pt idx="5">
                  <c:v>0</c:v>
                </c:pt>
                <c:pt idx="6">
                  <c:v>0</c:v>
                </c:pt>
                <c:pt idx="7">
                  <c:v>0</c:v>
                </c:pt>
                <c:pt idx="8">
                  <c:v>2</c:v>
                </c:pt>
                <c:pt idx="9">
                  <c:v>2</c:v>
                </c:pt>
                <c:pt idx="10">
                  <c:v>2</c:v>
                </c:pt>
                <c:pt idx="11">
                  <c:v>0</c:v>
                </c:pt>
                <c:pt idx="12">
                  <c:v>0</c:v>
                </c:pt>
                <c:pt idx="13">
                  <c:v>2</c:v>
                </c:pt>
                <c:pt idx="14">
                  <c:v>2</c:v>
                </c:pt>
                <c:pt idx="15">
                  <c:v>2</c:v>
                </c:pt>
              </c:numCache>
            </c:numRef>
          </c:val>
          <c:extLst xmlns:c16r2="http://schemas.microsoft.com/office/drawing/2015/06/chart">
            <c:ext xmlns:c16="http://schemas.microsoft.com/office/drawing/2014/chart" uri="{C3380CC4-5D6E-409C-BE32-E72D297353CC}">
              <c16:uniqueId val="{00000001-8219-4786-86D3-F7ECA879B969}"/>
            </c:ext>
          </c:extLst>
        </c:ser>
        <c:ser>
          <c:idx val="2"/>
          <c:order val="2"/>
          <c:tx>
            <c:strRef>
              <c:f>'Frein  marché par fillié NV (3)'!$A$6</c:f>
              <c:strCache>
                <c:ptCount val="1"/>
                <c:pt idx="0">
                  <c:v>Lait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(3)'!$B$3:$Q$3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(3)'!$B$6:$Q$6</c:f>
              <c:numCache>
                <c:formatCode>#\ ##0_ ;\-#\ ##0\ </c:formatCode>
                <c:ptCount val="16"/>
                <c:pt idx="0">
                  <c:v>2</c:v>
                </c:pt>
                <c:pt idx="1">
                  <c:v>2</c:v>
                </c:pt>
                <c:pt idx="2">
                  <c:v>1</c:v>
                </c:pt>
                <c:pt idx="3">
                  <c:v>2</c:v>
                </c:pt>
                <c:pt idx="4">
                  <c:v>2</c:v>
                </c:pt>
                <c:pt idx="5">
                  <c:v>2</c:v>
                </c:pt>
                <c:pt idx="6">
                  <c:v>2</c:v>
                </c:pt>
                <c:pt idx="7">
                  <c:v>2</c:v>
                </c:pt>
                <c:pt idx="8">
                  <c:v>2</c:v>
                </c:pt>
                <c:pt idx="9">
                  <c:v>2</c:v>
                </c:pt>
                <c:pt idx="10">
                  <c:v>2</c:v>
                </c:pt>
                <c:pt idx="11">
                  <c:v>2</c:v>
                </c:pt>
                <c:pt idx="12">
                  <c:v>2</c:v>
                </c:pt>
                <c:pt idx="13">
                  <c:v>2</c:v>
                </c:pt>
                <c:pt idx="14">
                  <c:v>2</c:v>
                </c:pt>
                <c:pt idx="15">
                  <c:v>2</c:v>
                </c:pt>
              </c:numCache>
            </c:numRef>
          </c:val>
          <c:extLst xmlns:c16r2="http://schemas.microsoft.com/office/drawing/2015/06/chart">
            <c:ext xmlns:c16="http://schemas.microsoft.com/office/drawing/2014/chart" uri="{C3380CC4-5D6E-409C-BE32-E72D297353CC}">
              <c16:uniqueId val="{00000002-8219-4786-86D3-F7ECA879B969}"/>
            </c:ext>
          </c:extLst>
        </c:ser>
        <c:ser>
          <c:idx val="3"/>
          <c:order val="3"/>
          <c:tx>
            <c:strRef>
              <c:f>'Frein  marché par fillié NV (3)'!$A$7</c:f>
              <c:strCache>
                <c:ptCount val="1"/>
                <c:pt idx="0">
                  <c:v>Manioc et autres tubercules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(3)'!$B$3:$Q$3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(3)'!$B$7:$Q$7</c:f>
              <c:numCache>
                <c:formatCode>#\ ##0_ ;\-#\ ##0\ </c:formatCode>
                <c:ptCount val="16"/>
                <c:pt idx="0">
                  <c:v>3</c:v>
                </c:pt>
                <c:pt idx="1">
                  <c:v>3</c:v>
                </c:pt>
                <c:pt idx="2">
                  <c:v>3</c:v>
                </c:pt>
                <c:pt idx="3">
                  <c:v>2</c:v>
                </c:pt>
                <c:pt idx="4">
                  <c:v>2</c:v>
                </c:pt>
                <c:pt idx="5">
                  <c:v>2</c:v>
                </c:pt>
                <c:pt idx="6">
                  <c:v>2</c:v>
                </c:pt>
                <c:pt idx="7">
                  <c:v>2</c:v>
                </c:pt>
                <c:pt idx="8">
                  <c:v>3</c:v>
                </c:pt>
                <c:pt idx="9">
                  <c:v>3</c:v>
                </c:pt>
                <c:pt idx="10">
                  <c:v>3</c:v>
                </c:pt>
                <c:pt idx="11">
                  <c:v>2</c:v>
                </c:pt>
                <c:pt idx="12">
                  <c:v>2</c:v>
                </c:pt>
                <c:pt idx="13">
                  <c:v>3</c:v>
                </c:pt>
                <c:pt idx="14">
                  <c:v>3</c:v>
                </c:pt>
                <c:pt idx="15">
                  <c:v>3</c:v>
                </c:pt>
              </c:numCache>
            </c:numRef>
          </c:val>
          <c:extLst xmlns:c16r2="http://schemas.microsoft.com/office/drawing/2015/06/chart">
            <c:ext xmlns:c16="http://schemas.microsoft.com/office/drawing/2014/chart" uri="{C3380CC4-5D6E-409C-BE32-E72D297353CC}">
              <c16:uniqueId val="{00000003-8219-4786-86D3-F7ECA879B969}"/>
            </c:ext>
          </c:extLst>
        </c:ser>
        <c:ser>
          <c:idx val="4"/>
          <c:order val="4"/>
          <c:tx>
            <c:strRef>
              <c:f>'Frein  marché par fillié NV (3)'!$A$8</c:f>
              <c:strCache>
                <c:ptCount val="1"/>
                <c:pt idx="0">
                  <c:v>Poisson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(3)'!$B$3:$Q$3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(3)'!$B$8:$Q$8</c:f>
              <c:numCache>
                <c:formatCode>#\ ##0_ ;\-#\ ##0\ </c:formatCode>
                <c:ptCount val="16"/>
                <c:pt idx="0">
                  <c:v>0</c:v>
                </c:pt>
                <c:pt idx="1">
                  <c:v>0</c:v>
                </c:pt>
                <c:pt idx="2">
                  <c:v>0</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xmlns:c16r2="http://schemas.microsoft.com/office/drawing/2015/06/chart">
            <c:ext xmlns:c16="http://schemas.microsoft.com/office/drawing/2014/chart" uri="{C3380CC4-5D6E-409C-BE32-E72D297353CC}">
              <c16:uniqueId val="{00000004-8219-4786-86D3-F7ECA879B969}"/>
            </c:ext>
          </c:extLst>
        </c:ser>
        <c:ser>
          <c:idx val="5"/>
          <c:order val="5"/>
          <c:tx>
            <c:strRef>
              <c:f>'Frein  marché par fillié NV (3)'!$A$9</c:f>
              <c:strCache>
                <c:ptCount val="1"/>
                <c:pt idx="0">
                  <c:v>Huile de palme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(3)'!$B$3:$Q$3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(3)'!$B$9:$Q$9</c:f>
              <c:numCache>
                <c:formatCode>#\ ##0_ ;\-#\ ##0\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5-8219-4786-86D3-F7ECA879B969}"/>
            </c:ext>
          </c:extLst>
        </c:ser>
        <c:ser>
          <c:idx val="6"/>
          <c:order val="6"/>
          <c:tx>
            <c:strRef>
              <c:f>'Frein  marché par fillié NV (3)'!$A$10</c:f>
              <c:strCache>
                <c:ptCount val="1"/>
                <c:pt idx="0">
                  <c:v>Plantain</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(3)'!$B$3:$Q$3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(3)'!$B$10:$Q$10</c:f>
              <c:numCache>
                <c:formatCode>#\ ##0_ ;\-#\ ##0\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6-8219-4786-86D3-F7ECA879B969}"/>
            </c:ext>
          </c:extLst>
        </c:ser>
        <c:dLbls>
          <c:dLblPos val="ctr"/>
          <c:showLegendKey val="0"/>
          <c:showVal val="1"/>
          <c:showCatName val="0"/>
          <c:showSerName val="0"/>
          <c:showPercent val="0"/>
          <c:showBubbleSize val="0"/>
        </c:dLbls>
        <c:gapWidth val="150"/>
        <c:overlap val="100"/>
        <c:axId val="1920679504"/>
        <c:axId val="1920678960"/>
      </c:barChart>
      <c:catAx>
        <c:axId val="1920679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0678960"/>
        <c:crosses val="autoZero"/>
        <c:auto val="1"/>
        <c:lblAlgn val="ctr"/>
        <c:lblOffset val="100"/>
        <c:noMultiLvlLbl val="0"/>
      </c:catAx>
      <c:valAx>
        <c:axId val="1920678960"/>
        <c:scaling>
          <c:orientation val="minMax"/>
        </c:scaling>
        <c:delete val="0"/>
        <c:axPos val="l"/>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0679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Marché numérique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'Frein  marché par fillié NV (4)'!$A$4</c:f>
              <c:strCache>
                <c:ptCount val="1"/>
                <c:pt idx="0">
                  <c:v>Fruits et légumes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(4)'!$B$3:$Q$3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(4)'!$B$4:$Q$4</c:f>
              <c:numCache>
                <c:formatCode>#\ ##0_ ;\-#\ ##0\ </c:formatCode>
                <c:ptCount val="16"/>
                <c:pt idx="0">
                  <c:v>1</c:v>
                </c:pt>
                <c:pt idx="1">
                  <c:v>1</c:v>
                </c:pt>
                <c:pt idx="2">
                  <c:v>1</c:v>
                </c:pt>
                <c:pt idx="3">
                  <c:v>2</c:v>
                </c:pt>
                <c:pt idx="4">
                  <c:v>2</c:v>
                </c:pt>
                <c:pt idx="5">
                  <c:v>2</c:v>
                </c:pt>
                <c:pt idx="6">
                  <c:v>2</c:v>
                </c:pt>
                <c:pt idx="7">
                  <c:v>2</c:v>
                </c:pt>
                <c:pt idx="8">
                  <c:v>2</c:v>
                </c:pt>
                <c:pt idx="9">
                  <c:v>3</c:v>
                </c:pt>
                <c:pt idx="10">
                  <c:v>3</c:v>
                </c:pt>
                <c:pt idx="11">
                  <c:v>3</c:v>
                </c:pt>
                <c:pt idx="12">
                  <c:v>3</c:v>
                </c:pt>
                <c:pt idx="13">
                  <c:v>3</c:v>
                </c:pt>
                <c:pt idx="14">
                  <c:v>3</c:v>
                </c:pt>
                <c:pt idx="15">
                  <c:v>2</c:v>
                </c:pt>
              </c:numCache>
            </c:numRef>
          </c:val>
          <c:extLst xmlns:c16r2="http://schemas.microsoft.com/office/drawing/2015/06/chart">
            <c:ext xmlns:c16="http://schemas.microsoft.com/office/drawing/2014/chart" uri="{C3380CC4-5D6E-409C-BE32-E72D297353CC}">
              <c16:uniqueId val="{00000000-76EE-43A0-858E-51F4B44305AC}"/>
            </c:ext>
          </c:extLst>
        </c:ser>
        <c:ser>
          <c:idx val="1"/>
          <c:order val="1"/>
          <c:tx>
            <c:strRef>
              <c:f>'Frein  marché par fillié NV (4)'!$A$5</c:f>
              <c:strCache>
                <c:ptCount val="1"/>
                <c:pt idx="0">
                  <c:v>Volaile de chair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(4)'!$B$3:$Q$3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(4)'!$B$5:$Q$5</c:f>
              <c:numCache>
                <c:formatCode>#\ ##0_ ;\-#\ ##0\ </c:formatCode>
                <c:ptCount val="16"/>
                <c:pt idx="0">
                  <c:v>2</c:v>
                </c:pt>
                <c:pt idx="1">
                  <c:v>0</c:v>
                </c:pt>
                <c:pt idx="2">
                  <c:v>2</c:v>
                </c:pt>
                <c:pt idx="3">
                  <c:v>2</c:v>
                </c:pt>
                <c:pt idx="4">
                  <c:v>2</c:v>
                </c:pt>
                <c:pt idx="5">
                  <c:v>2</c:v>
                </c:pt>
                <c:pt idx="6">
                  <c:v>0</c:v>
                </c:pt>
                <c:pt idx="7">
                  <c:v>0</c:v>
                </c:pt>
                <c:pt idx="8">
                  <c:v>2</c:v>
                </c:pt>
                <c:pt idx="9">
                  <c:v>2</c:v>
                </c:pt>
                <c:pt idx="10">
                  <c:v>2</c:v>
                </c:pt>
                <c:pt idx="11">
                  <c:v>0</c:v>
                </c:pt>
                <c:pt idx="12">
                  <c:v>0</c:v>
                </c:pt>
                <c:pt idx="13">
                  <c:v>2</c:v>
                </c:pt>
                <c:pt idx="14">
                  <c:v>2</c:v>
                </c:pt>
                <c:pt idx="15">
                  <c:v>2</c:v>
                </c:pt>
              </c:numCache>
            </c:numRef>
          </c:val>
          <c:extLst xmlns:c16r2="http://schemas.microsoft.com/office/drawing/2015/06/chart">
            <c:ext xmlns:c16="http://schemas.microsoft.com/office/drawing/2014/chart" uri="{C3380CC4-5D6E-409C-BE32-E72D297353CC}">
              <c16:uniqueId val="{00000001-76EE-43A0-858E-51F4B44305AC}"/>
            </c:ext>
          </c:extLst>
        </c:ser>
        <c:ser>
          <c:idx val="2"/>
          <c:order val="2"/>
          <c:tx>
            <c:strRef>
              <c:f>'Frein  marché par fillié NV (4)'!$A$6</c:f>
              <c:strCache>
                <c:ptCount val="1"/>
                <c:pt idx="0">
                  <c:v>Lait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(4)'!$B$3:$Q$3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(4)'!$B$6:$Q$6</c:f>
              <c:numCache>
                <c:formatCode>#\ ##0_ ;\-#\ ##0\ </c:formatCode>
                <c:ptCount val="16"/>
                <c:pt idx="0">
                  <c:v>1</c:v>
                </c:pt>
                <c:pt idx="1">
                  <c:v>1</c:v>
                </c:pt>
                <c:pt idx="2">
                  <c:v>1</c:v>
                </c:pt>
                <c:pt idx="3">
                  <c:v>1</c:v>
                </c:pt>
                <c:pt idx="4">
                  <c:v>1</c:v>
                </c:pt>
                <c:pt idx="5">
                  <c:v>1</c:v>
                </c:pt>
                <c:pt idx="6">
                  <c:v>2</c:v>
                </c:pt>
                <c:pt idx="7">
                  <c:v>2</c:v>
                </c:pt>
                <c:pt idx="8">
                  <c:v>1</c:v>
                </c:pt>
                <c:pt idx="9">
                  <c:v>2</c:v>
                </c:pt>
                <c:pt idx="10">
                  <c:v>2</c:v>
                </c:pt>
                <c:pt idx="11">
                  <c:v>2</c:v>
                </c:pt>
                <c:pt idx="12">
                  <c:v>2</c:v>
                </c:pt>
                <c:pt idx="13">
                  <c:v>2</c:v>
                </c:pt>
                <c:pt idx="14">
                  <c:v>2</c:v>
                </c:pt>
                <c:pt idx="15">
                  <c:v>2</c:v>
                </c:pt>
              </c:numCache>
            </c:numRef>
          </c:val>
          <c:extLst xmlns:c16r2="http://schemas.microsoft.com/office/drawing/2015/06/chart">
            <c:ext xmlns:c16="http://schemas.microsoft.com/office/drawing/2014/chart" uri="{C3380CC4-5D6E-409C-BE32-E72D297353CC}">
              <c16:uniqueId val="{00000002-76EE-43A0-858E-51F4B44305AC}"/>
            </c:ext>
          </c:extLst>
        </c:ser>
        <c:ser>
          <c:idx val="3"/>
          <c:order val="3"/>
          <c:tx>
            <c:strRef>
              <c:f>'Frein  marché par fillié NV (4)'!$A$7</c:f>
              <c:strCache>
                <c:ptCount val="1"/>
                <c:pt idx="0">
                  <c:v>Manioc et autres tubercules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(4)'!$B$3:$Q$3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(4)'!$B$7:$Q$7</c:f>
              <c:numCache>
                <c:formatCode>#\ ##0_ ;\-#\ ##0\ </c:formatCode>
                <c:ptCount val="16"/>
                <c:pt idx="0">
                  <c:v>2</c:v>
                </c:pt>
                <c:pt idx="1">
                  <c:v>1</c:v>
                </c:pt>
                <c:pt idx="2">
                  <c:v>2</c:v>
                </c:pt>
                <c:pt idx="3">
                  <c:v>2</c:v>
                </c:pt>
                <c:pt idx="4">
                  <c:v>2</c:v>
                </c:pt>
                <c:pt idx="5">
                  <c:v>2</c:v>
                </c:pt>
                <c:pt idx="6">
                  <c:v>1</c:v>
                </c:pt>
                <c:pt idx="7">
                  <c:v>1</c:v>
                </c:pt>
                <c:pt idx="8">
                  <c:v>2</c:v>
                </c:pt>
                <c:pt idx="9">
                  <c:v>2</c:v>
                </c:pt>
                <c:pt idx="10">
                  <c:v>2</c:v>
                </c:pt>
                <c:pt idx="11">
                  <c:v>1</c:v>
                </c:pt>
                <c:pt idx="12">
                  <c:v>1</c:v>
                </c:pt>
                <c:pt idx="13">
                  <c:v>2</c:v>
                </c:pt>
                <c:pt idx="14">
                  <c:v>2</c:v>
                </c:pt>
                <c:pt idx="15">
                  <c:v>2</c:v>
                </c:pt>
              </c:numCache>
            </c:numRef>
          </c:val>
          <c:extLst xmlns:c16r2="http://schemas.microsoft.com/office/drawing/2015/06/chart">
            <c:ext xmlns:c16="http://schemas.microsoft.com/office/drawing/2014/chart" uri="{C3380CC4-5D6E-409C-BE32-E72D297353CC}">
              <c16:uniqueId val="{00000003-76EE-43A0-858E-51F4B44305AC}"/>
            </c:ext>
          </c:extLst>
        </c:ser>
        <c:ser>
          <c:idx val="4"/>
          <c:order val="4"/>
          <c:tx>
            <c:strRef>
              <c:f>'Frein  marché par fillié NV (4)'!$A$8</c:f>
              <c:strCache>
                <c:ptCount val="1"/>
                <c:pt idx="0">
                  <c:v>Poisson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(4)'!$B$3:$Q$3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(4)'!$B$8:$Q$8</c:f>
              <c:numCache>
                <c:formatCode>#\ ##0_ ;\-#\ ##0\ </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xmlns:c16r2="http://schemas.microsoft.com/office/drawing/2015/06/chart">
            <c:ext xmlns:c16="http://schemas.microsoft.com/office/drawing/2014/chart" uri="{C3380CC4-5D6E-409C-BE32-E72D297353CC}">
              <c16:uniqueId val="{00000004-76EE-43A0-858E-51F4B44305AC}"/>
            </c:ext>
          </c:extLst>
        </c:ser>
        <c:ser>
          <c:idx val="5"/>
          <c:order val="5"/>
          <c:tx>
            <c:strRef>
              <c:f>'Frein  marché par fillié NV (4)'!$A$9</c:f>
              <c:strCache>
                <c:ptCount val="1"/>
                <c:pt idx="0">
                  <c:v>Huile de palme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(4)'!$B$3:$Q$3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(4)'!$B$9:$Q$9</c:f>
              <c:numCache>
                <c:formatCode>#\ ##0_ ;\-#\ ##0\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5-76EE-43A0-858E-51F4B44305AC}"/>
            </c:ext>
          </c:extLst>
        </c:ser>
        <c:ser>
          <c:idx val="6"/>
          <c:order val="6"/>
          <c:tx>
            <c:strRef>
              <c:f>'Frein  marché par fillié NV (4)'!$A$10</c:f>
              <c:strCache>
                <c:ptCount val="1"/>
                <c:pt idx="0">
                  <c:v>Plantain</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(4)'!$B$3:$Q$3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(4)'!$B$10:$Q$10</c:f>
              <c:numCache>
                <c:formatCode>#\ ##0_ ;\-#\ ##0\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6-76EE-43A0-858E-51F4B44305AC}"/>
            </c:ext>
          </c:extLst>
        </c:ser>
        <c:dLbls>
          <c:dLblPos val="ctr"/>
          <c:showLegendKey val="0"/>
          <c:showVal val="1"/>
          <c:showCatName val="0"/>
          <c:showSerName val="0"/>
          <c:showPercent val="0"/>
          <c:showBubbleSize val="0"/>
        </c:dLbls>
        <c:gapWidth val="150"/>
        <c:overlap val="100"/>
        <c:axId val="1920672976"/>
        <c:axId val="1920683856"/>
      </c:barChart>
      <c:catAx>
        <c:axId val="1920672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0683856"/>
        <c:crosses val="autoZero"/>
        <c:auto val="1"/>
        <c:lblAlgn val="ctr"/>
        <c:lblOffset val="100"/>
        <c:noMultiLvlLbl val="0"/>
      </c:catAx>
      <c:valAx>
        <c:axId val="1920683856"/>
        <c:scaling>
          <c:orientation val="minMax"/>
        </c:scaling>
        <c:delete val="0"/>
        <c:axPos val="l"/>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067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Marché de la sous région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'Frein  marché par fillié NV (5)'!$A$4</c:f>
              <c:strCache>
                <c:ptCount val="1"/>
                <c:pt idx="0">
                  <c:v>Fruits et légumes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(5)'!$B$3:$Q$3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(5)'!$B$4:$Q$4</c:f>
              <c:numCache>
                <c:formatCode>#\ ##0_ ;\-#\ ##0\ </c:formatCode>
                <c:ptCount val="16"/>
                <c:pt idx="0">
                  <c:v>3</c:v>
                </c:pt>
                <c:pt idx="1">
                  <c:v>3</c:v>
                </c:pt>
                <c:pt idx="2">
                  <c:v>1</c:v>
                </c:pt>
                <c:pt idx="3">
                  <c:v>1</c:v>
                </c:pt>
                <c:pt idx="4">
                  <c:v>4</c:v>
                </c:pt>
                <c:pt idx="5">
                  <c:v>4</c:v>
                </c:pt>
                <c:pt idx="6">
                  <c:v>4</c:v>
                </c:pt>
                <c:pt idx="7">
                  <c:v>4</c:v>
                </c:pt>
                <c:pt idx="8">
                  <c:v>4</c:v>
                </c:pt>
                <c:pt idx="9">
                  <c:v>4</c:v>
                </c:pt>
                <c:pt idx="10">
                  <c:v>4</c:v>
                </c:pt>
                <c:pt idx="11">
                  <c:v>4</c:v>
                </c:pt>
                <c:pt idx="12">
                  <c:v>4</c:v>
                </c:pt>
                <c:pt idx="13">
                  <c:v>4</c:v>
                </c:pt>
                <c:pt idx="14">
                  <c:v>4</c:v>
                </c:pt>
                <c:pt idx="15">
                  <c:v>4</c:v>
                </c:pt>
              </c:numCache>
            </c:numRef>
          </c:val>
          <c:extLst xmlns:c16r2="http://schemas.microsoft.com/office/drawing/2015/06/chart">
            <c:ext xmlns:c16="http://schemas.microsoft.com/office/drawing/2014/chart" uri="{C3380CC4-5D6E-409C-BE32-E72D297353CC}">
              <c16:uniqueId val="{00000000-EDB3-41E9-9611-DF4553A4CD06}"/>
            </c:ext>
          </c:extLst>
        </c:ser>
        <c:ser>
          <c:idx val="1"/>
          <c:order val="1"/>
          <c:tx>
            <c:strRef>
              <c:f>'Frein  marché par fillié NV (5)'!$A$5</c:f>
              <c:strCache>
                <c:ptCount val="1"/>
                <c:pt idx="0">
                  <c:v>Volaile de chair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(5)'!$B$3:$Q$3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(5)'!$B$5:$Q$5</c:f>
              <c:numCache>
                <c:formatCode>#\ ##0_ ;\-#\ ##0\ </c:formatCode>
                <c:ptCount val="16"/>
                <c:pt idx="0">
                  <c:v>3</c:v>
                </c:pt>
                <c:pt idx="1">
                  <c:v>1</c:v>
                </c:pt>
                <c:pt idx="2">
                  <c:v>3</c:v>
                </c:pt>
                <c:pt idx="3">
                  <c:v>3</c:v>
                </c:pt>
                <c:pt idx="4">
                  <c:v>3</c:v>
                </c:pt>
                <c:pt idx="5">
                  <c:v>3</c:v>
                </c:pt>
                <c:pt idx="6">
                  <c:v>1</c:v>
                </c:pt>
                <c:pt idx="7">
                  <c:v>1</c:v>
                </c:pt>
                <c:pt idx="8">
                  <c:v>3</c:v>
                </c:pt>
                <c:pt idx="9">
                  <c:v>3</c:v>
                </c:pt>
                <c:pt idx="10">
                  <c:v>3</c:v>
                </c:pt>
                <c:pt idx="11">
                  <c:v>1</c:v>
                </c:pt>
                <c:pt idx="12">
                  <c:v>1</c:v>
                </c:pt>
                <c:pt idx="13">
                  <c:v>3</c:v>
                </c:pt>
                <c:pt idx="14">
                  <c:v>3</c:v>
                </c:pt>
                <c:pt idx="15">
                  <c:v>3</c:v>
                </c:pt>
              </c:numCache>
            </c:numRef>
          </c:val>
          <c:extLst xmlns:c16r2="http://schemas.microsoft.com/office/drawing/2015/06/chart">
            <c:ext xmlns:c16="http://schemas.microsoft.com/office/drawing/2014/chart" uri="{C3380CC4-5D6E-409C-BE32-E72D297353CC}">
              <c16:uniqueId val="{00000001-EDB3-41E9-9611-DF4553A4CD06}"/>
            </c:ext>
          </c:extLst>
        </c:ser>
        <c:ser>
          <c:idx val="2"/>
          <c:order val="2"/>
          <c:tx>
            <c:strRef>
              <c:f>'Frein  marché par fillié NV (5)'!$A$6</c:f>
              <c:strCache>
                <c:ptCount val="1"/>
                <c:pt idx="0">
                  <c:v>Lait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(5)'!$B$3:$Q$3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(5)'!$B$6:$Q$6</c:f>
              <c:numCache>
                <c:formatCode>#\ ##0_ ;\-#\ ##0\ </c:formatCode>
                <c:ptCount val="16"/>
                <c:pt idx="0">
                  <c:v>2</c:v>
                </c:pt>
                <c:pt idx="1">
                  <c:v>2</c:v>
                </c:pt>
                <c:pt idx="2">
                  <c:v>2</c:v>
                </c:pt>
                <c:pt idx="3">
                  <c:v>2</c:v>
                </c:pt>
                <c:pt idx="4">
                  <c:v>2</c:v>
                </c:pt>
                <c:pt idx="5">
                  <c:v>2</c:v>
                </c:pt>
                <c:pt idx="6">
                  <c:v>1</c:v>
                </c:pt>
                <c:pt idx="7">
                  <c:v>1</c:v>
                </c:pt>
                <c:pt idx="8">
                  <c:v>1</c:v>
                </c:pt>
                <c:pt idx="9">
                  <c:v>1</c:v>
                </c:pt>
                <c:pt idx="10">
                  <c:v>1</c:v>
                </c:pt>
                <c:pt idx="11">
                  <c:v>1</c:v>
                </c:pt>
                <c:pt idx="12">
                  <c:v>1</c:v>
                </c:pt>
                <c:pt idx="13">
                  <c:v>1</c:v>
                </c:pt>
                <c:pt idx="14">
                  <c:v>1</c:v>
                </c:pt>
                <c:pt idx="15">
                  <c:v>1</c:v>
                </c:pt>
              </c:numCache>
            </c:numRef>
          </c:val>
          <c:extLst xmlns:c16r2="http://schemas.microsoft.com/office/drawing/2015/06/chart">
            <c:ext xmlns:c16="http://schemas.microsoft.com/office/drawing/2014/chart" uri="{C3380CC4-5D6E-409C-BE32-E72D297353CC}">
              <c16:uniqueId val="{00000002-EDB3-41E9-9611-DF4553A4CD06}"/>
            </c:ext>
          </c:extLst>
        </c:ser>
        <c:ser>
          <c:idx val="3"/>
          <c:order val="3"/>
          <c:tx>
            <c:strRef>
              <c:f>'Frein  marché par fillié NV (5)'!$A$7</c:f>
              <c:strCache>
                <c:ptCount val="1"/>
                <c:pt idx="0">
                  <c:v>Manioc et autres tubercules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(5)'!$B$3:$Q$3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(5)'!$B$7:$Q$7</c:f>
              <c:numCache>
                <c:formatCode>#\ ##0_ ;\-#\ ##0\ </c:formatCode>
                <c:ptCount val="16"/>
                <c:pt idx="0">
                  <c:v>6</c:v>
                </c:pt>
                <c:pt idx="1">
                  <c:v>5</c:v>
                </c:pt>
                <c:pt idx="2">
                  <c:v>7</c:v>
                </c:pt>
                <c:pt idx="3">
                  <c:v>6</c:v>
                </c:pt>
                <c:pt idx="4">
                  <c:v>7</c:v>
                </c:pt>
                <c:pt idx="5">
                  <c:v>7</c:v>
                </c:pt>
                <c:pt idx="6">
                  <c:v>6</c:v>
                </c:pt>
                <c:pt idx="7">
                  <c:v>6</c:v>
                </c:pt>
                <c:pt idx="8">
                  <c:v>7</c:v>
                </c:pt>
                <c:pt idx="9">
                  <c:v>7</c:v>
                </c:pt>
                <c:pt idx="10">
                  <c:v>7</c:v>
                </c:pt>
                <c:pt idx="11">
                  <c:v>6</c:v>
                </c:pt>
                <c:pt idx="12">
                  <c:v>6</c:v>
                </c:pt>
                <c:pt idx="13">
                  <c:v>7</c:v>
                </c:pt>
                <c:pt idx="14">
                  <c:v>7</c:v>
                </c:pt>
                <c:pt idx="15">
                  <c:v>7</c:v>
                </c:pt>
              </c:numCache>
            </c:numRef>
          </c:val>
          <c:extLst xmlns:c16r2="http://schemas.microsoft.com/office/drawing/2015/06/chart">
            <c:ext xmlns:c16="http://schemas.microsoft.com/office/drawing/2014/chart" uri="{C3380CC4-5D6E-409C-BE32-E72D297353CC}">
              <c16:uniqueId val="{00000003-EDB3-41E9-9611-DF4553A4CD06}"/>
            </c:ext>
          </c:extLst>
        </c:ser>
        <c:ser>
          <c:idx val="4"/>
          <c:order val="4"/>
          <c:tx>
            <c:strRef>
              <c:f>'Frein  marché par fillié NV (5)'!$A$8</c:f>
              <c:strCache>
                <c:ptCount val="1"/>
                <c:pt idx="0">
                  <c:v>Poisson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(5)'!$B$3:$Q$3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(5)'!$B$8:$Q$8</c:f>
              <c:numCache>
                <c:formatCode>#\ ##0_ ;\-#\ ##0\ </c:formatCode>
                <c:ptCount val="16"/>
                <c:pt idx="0">
                  <c:v>2</c:v>
                </c:pt>
                <c:pt idx="1">
                  <c:v>2</c:v>
                </c:pt>
                <c:pt idx="2">
                  <c:v>2</c:v>
                </c:pt>
                <c:pt idx="3">
                  <c:v>3</c:v>
                </c:pt>
                <c:pt idx="4">
                  <c:v>3</c:v>
                </c:pt>
                <c:pt idx="5">
                  <c:v>3</c:v>
                </c:pt>
                <c:pt idx="6">
                  <c:v>3</c:v>
                </c:pt>
                <c:pt idx="7">
                  <c:v>3</c:v>
                </c:pt>
                <c:pt idx="8">
                  <c:v>3</c:v>
                </c:pt>
                <c:pt idx="9">
                  <c:v>3</c:v>
                </c:pt>
                <c:pt idx="10">
                  <c:v>4</c:v>
                </c:pt>
                <c:pt idx="11">
                  <c:v>4</c:v>
                </c:pt>
                <c:pt idx="12">
                  <c:v>4</c:v>
                </c:pt>
                <c:pt idx="13">
                  <c:v>4</c:v>
                </c:pt>
                <c:pt idx="14">
                  <c:v>4</c:v>
                </c:pt>
                <c:pt idx="15">
                  <c:v>4</c:v>
                </c:pt>
              </c:numCache>
            </c:numRef>
          </c:val>
          <c:extLst xmlns:c16r2="http://schemas.microsoft.com/office/drawing/2015/06/chart">
            <c:ext xmlns:c16="http://schemas.microsoft.com/office/drawing/2014/chart" uri="{C3380CC4-5D6E-409C-BE32-E72D297353CC}">
              <c16:uniqueId val="{00000004-EDB3-41E9-9611-DF4553A4CD06}"/>
            </c:ext>
          </c:extLst>
        </c:ser>
        <c:ser>
          <c:idx val="5"/>
          <c:order val="5"/>
          <c:tx>
            <c:strRef>
              <c:f>'Frein  marché par fillié NV (5)'!$A$9</c:f>
              <c:strCache>
                <c:ptCount val="1"/>
                <c:pt idx="0">
                  <c:v>Huile de palme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(5)'!$B$3:$Q$3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(5)'!$B$9:$Q$9</c:f>
              <c:numCache>
                <c:formatCode>#\ ##0_ ;\-#\ ##0\ </c:formatCode>
                <c:ptCount val="16"/>
                <c:pt idx="0">
                  <c:v>2</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numCache>
            </c:numRef>
          </c:val>
          <c:extLst xmlns:c16r2="http://schemas.microsoft.com/office/drawing/2015/06/chart">
            <c:ext xmlns:c16="http://schemas.microsoft.com/office/drawing/2014/chart" uri="{C3380CC4-5D6E-409C-BE32-E72D297353CC}">
              <c16:uniqueId val="{00000005-EDB3-41E9-9611-DF4553A4CD06}"/>
            </c:ext>
          </c:extLst>
        </c:ser>
        <c:ser>
          <c:idx val="6"/>
          <c:order val="6"/>
          <c:tx>
            <c:strRef>
              <c:f>'Frein  marché par fillié NV (5)'!$A$10</c:f>
              <c:strCache>
                <c:ptCount val="1"/>
                <c:pt idx="0">
                  <c:v>Plantain</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(5)'!$B$3:$Q$3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(5)'!$B$10:$Q$10</c:f>
              <c:numCache>
                <c:formatCode>#\ ##0_ ;\-#\ ##0\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6-EDB3-41E9-9611-DF4553A4CD06}"/>
            </c:ext>
          </c:extLst>
        </c:ser>
        <c:dLbls>
          <c:dLblPos val="ctr"/>
          <c:showLegendKey val="0"/>
          <c:showVal val="1"/>
          <c:showCatName val="0"/>
          <c:showSerName val="0"/>
          <c:showPercent val="0"/>
          <c:showBubbleSize val="0"/>
        </c:dLbls>
        <c:gapWidth val="150"/>
        <c:overlap val="100"/>
        <c:axId val="1920677328"/>
        <c:axId val="1920680592"/>
      </c:barChart>
      <c:catAx>
        <c:axId val="1920677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0680592"/>
        <c:crosses val="autoZero"/>
        <c:auto val="1"/>
        <c:lblAlgn val="ctr"/>
        <c:lblOffset val="100"/>
        <c:noMultiLvlLbl val="0"/>
      </c:catAx>
      <c:valAx>
        <c:axId val="1920680592"/>
        <c:scaling>
          <c:orientation val="minMax"/>
        </c:scaling>
        <c:delete val="0"/>
        <c:axPos val="l"/>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0677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Marché internationnal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'Frein  marché par fillié NV (6)'!$A$4</c:f>
              <c:strCache>
                <c:ptCount val="1"/>
                <c:pt idx="0">
                  <c:v>Fruits et légumes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(6)'!$B$3:$Q$3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(6)'!$B$4:$Q$4</c:f>
              <c:numCache>
                <c:formatCode>#\ ##0_ ;\-#\ ##0\ </c:formatCode>
                <c:ptCount val="16"/>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numCache>
            </c:numRef>
          </c:val>
          <c:extLst xmlns:c16r2="http://schemas.microsoft.com/office/drawing/2015/06/chart">
            <c:ext xmlns:c16="http://schemas.microsoft.com/office/drawing/2014/chart" uri="{C3380CC4-5D6E-409C-BE32-E72D297353CC}">
              <c16:uniqueId val="{00000000-FB23-425C-A7E8-0F4ED34BF3B2}"/>
            </c:ext>
          </c:extLst>
        </c:ser>
        <c:ser>
          <c:idx val="1"/>
          <c:order val="1"/>
          <c:tx>
            <c:strRef>
              <c:f>'Frein  marché par fillié NV (6)'!$A$5</c:f>
              <c:strCache>
                <c:ptCount val="1"/>
                <c:pt idx="0">
                  <c:v>Volaile de chair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(6)'!$B$3:$Q$3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(6)'!$B$5:$Q$5</c:f>
              <c:numCache>
                <c:formatCode>#\ ##0_ ;\-#\ ##0\ </c:formatCode>
                <c:ptCount val="16"/>
                <c:pt idx="0">
                  <c:v>3</c:v>
                </c:pt>
                <c:pt idx="1">
                  <c:v>1</c:v>
                </c:pt>
                <c:pt idx="2">
                  <c:v>3</c:v>
                </c:pt>
                <c:pt idx="3">
                  <c:v>3</c:v>
                </c:pt>
                <c:pt idx="4">
                  <c:v>3</c:v>
                </c:pt>
                <c:pt idx="5">
                  <c:v>3</c:v>
                </c:pt>
                <c:pt idx="6">
                  <c:v>1</c:v>
                </c:pt>
                <c:pt idx="7">
                  <c:v>1</c:v>
                </c:pt>
                <c:pt idx="8">
                  <c:v>3</c:v>
                </c:pt>
                <c:pt idx="9">
                  <c:v>3</c:v>
                </c:pt>
                <c:pt idx="10">
                  <c:v>3</c:v>
                </c:pt>
                <c:pt idx="11">
                  <c:v>1</c:v>
                </c:pt>
                <c:pt idx="12">
                  <c:v>1</c:v>
                </c:pt>
                <c:pt idx="13">
                  <c:v>3</c:v>
                </c:pt>
                <c:pt idx="14">
                  <c:v>3</c:v>
                </c:pt>
                <c:pt idx="15">
                  <c:v>3</c:v>
                </c:pt>
              </c:numCache>
            </c:numRef>
          </c:val>
          <c:extLst xmlns:c16r2="http://schemas.microsoft.com/office/drawing/2015/06/chart">
            <c:ext xmlns:c16="http://schemas.microsoft.com/office/drawing/2014/chart" uri="{C3380CC4-5D6E-409C-BE32-E72D297353CC}">
              <c16:uniqueId val="{00000001-FB23-425C-A7E8-0F4ED34BF3B2}"/>
            </c:ext>
          </c:extLst>
        </c:ser>
        <c:ser>
          <c:idx val="2"/>
          <c:order val="2"/>
          <c:tx>
            <c:strRef>
              <c:f>'Frein  marché par fillié NV (6)'!$A$6</c:f>
              <c:strCache>
                <c:ptCount val="1"/>
                <c:pt idx="0">
                  <c:v>Lait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(6)'!$B$3:$Q$3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(6)'!$B$6:$Q$6</c:f>
              <c:numCache>
                <c:formatCode>#\ ##0_ ;\-#\ ##0\ </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xmlns:c16r2="http://schemas.microsoft.com/office/drawing/2015/06/chart">
            <c:ext xmlns:c16="http://schemas.microsoft.com/office/drawing/2014/chart" uri="{C3380CC4-5D6E-409C-BE32-E72D297353CC}">
              <c16:uniqueId val="{00000002-FB23-425C-A7E8-0F4ED34BF3B2}"/>
            </c:ext>
          </c:extLst>
        </c:ser>
        <c:ser>
          <c:idx val="3"/>
          <c:order val="3"/>
          <c:tx>
            <c:strRef>
              <c:f>'Frein  marché par fillié NV (6)'!$A$7</c:f>
              <c:strCache>
                <c:ptCount val="1"/>
                <c:pt idx="0">
                  <c:v>Manioc et autres tubercules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(6)'!$B$3:$Q$3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(6)'!$B$7:$Q$7</c:f>
              <c:numCache>
                <c:formatCode>#\ ##0_ ;\-#\ ##0\ </c:formatCode>
                <c:ptCount val="16"/>
                <c:pt idx="0">
                  <c:v>6</c:v>
                </c:pt>
                <c:pt idx="1">
                  <c:v>6</c:v>
                </c:pt>
                <c:pt idx="2">
                  <c:v>7</c:v>
                </c:pt>
                <c:pt idx="3">
                  <c:v>6</c:v>
                </c:pt>
                <c:pt idx="4">
                  <c:v>7</c:v>
                </c:pt>
                <c:pt idx="5">
                  <c:v>7</c:v>
                </c:pt>
                <c:pt idx="6">
                  <c:v>6</c:v>
                </c:pt>
                <c:pt idx="7">
                  <c:v>6</c:v>
                </c:pt>
                <c:pt idx="8">
                  <c:v>7</c:v>
                </c:pt>
                <c:pt idx="9">
                  <c:v>7</c:v>
                </c:pt>
                <c:pt idx="10">
                  <c:v>7</c:v>
                </c:pt>
                <c:pt idx="11">
                  <c:v>6</c:v>
                </c:pt>
                <c:pt idx="12">
                  <c:v>6</c:v>
                </c:pt>
                <c:pt idx="13">
                  <c:v>7</c:v>
                </c:pt>
                <c:pt idx="14">
                  <c:v>7</c:v>
                </c:pt>
                <c:pt idx="15">
                  <c:v>7</c:v>
                </c:pt>
              </c:numCache>
            </c:numRef>
          </c:val>
          <c:extLst xmlns:c16r2="http://schemas.microsoft.com/office/drawing/2015/06/chart">
            <c:ext xmlns:c16="http://schemas.microsoft.com/office/drawing/2014/chart" uri="{C3380CC4-5D6E-409C-BE32-E72D297353CC}">
              <c16:uniqueId val="{00000003-FB23-425C-A7E8-0F4ED34BF3B2}"/>
            </c:ext>
          </c:extLst>
        </c:ser>
        <c:ser>
          <c:idx val="4"/>
          <c:order val="4"/>
          <c:tx>
            <c:strRef>
              <c:f>'Frein  marché par fillié NV (6)'!$A$8</c:f>
              <c:strCache>
                <c:ptCount val="1"/>
                <c:pt idx="0">
                  <c:v>Poisson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(6)'!$B$3:$Q$3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(6)'!$B$8:$Q$8</c:f>
              <c:numCache>
                <c:formatCode>#\ ##0_ ;\-#\ ##0\ </c:formatCode>
                <c:ptCount val="16"/>
                <c:pt idx="0">
                  <c:v>3</c:v>
                </c:pt>
                <c:pt idx="1">
                  <c:v>3</c:v>
                </c:pt>
                <c:pt idx="2">
                  <c:v>3</c:v>
                </c:pt>
                <c:pt idx="3">
                  <c:v>4</c:v>
                </c:pt>
                <c:pt idx="4">
                  <c:v>4</c:v>
                </c:pt>
                <c:pt idx="5">
                  <c:v>3</c:v>
                </c:pt>
                <c:pt idx="6">
                  <c:v>3</c:v>
                </c:pt>
                <c:pt idx="7">
                  <c:v>3</c:v>
                </c:pt>
                <c:pt idx="8">
                  <c:v>3</c:v>
                </c:pt>
                <c:pt idx="9">
                  <c:v>4</c:v>
                </c:pt>
                <c:pt idx="10">
                  <c:v>4</c:v>
                </c:pt>
                <c:pt idx="11">
                  <c:v>4</c:v>
                </c:pt>
                <c:pt idx="12">
                  <c:v>4</c:v>
                </c:pt>
                <c:pt idx="13">
                  <c:v>4</c:v>
                </c:pt>
                <c:pt idx="14">
                  <c:v>4</c:v>
                </c:pt>
                <c:pt idx="15">
                  <c:v>4</c:v>
                </c:pt>
              </c:numCache>
            </c:numRef>
          </c:val>
          <c:extLst xmlns:c16r2="http://schemas.microsoft.com/office/drawing/2015/06/chart">
            <c:ext xmlns:c16="http://schemas.microsoft.com/office/drawing/2014/chart" uri="{C3380CC4-5D6E-409C-BE32-E72D297353CC}">
              <c16:uniqueId val="{00000004-FB23-425C-A7E8-0F4ED34BF3B2}"/>
            </c:ext>
          </c:extLst>
        </c:ser>
        <c:ser>
          <c:idx val="5"/>
          <c:order val="5"/>
          <c:tx>
            <c:strRef>
              <c:f>'Frein  marché par fillié NV (6)'!$A$9</c:f>
              <c:strCache>
                <c:ptCount val="1"/>
                <c:pt idx="0">
                  <c:v>Huile de palme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(6)'!$B$3:$Q$3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(6)'!$B$9:$Q$9</c:f>
              <c:numCache>
                <c:formatCode>#\ ##0_ ;\-#\ ##0\ </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xmlns:c16r2="http://schemas.microsoft.com/office/drawing/2015/06/chart">
            <c:ext xmlns:c16="http://schemas.microsoft.com/office/drawing/2014/chart" uri="{C3380CC4-5D6E-409C-BE32-E72D297353CC}">
              <c16:uniqueId val="{00000005-FB23-425C-A7E8-0F4ED34BF3B2}"/>
            </c:ext>
          </c:extLst>
        </c:ser>
        <c:ser>
          <c:idx val="6"/>
          <c:order val="6"/>
          <c:tx>
            <c:strRef>
              <c:f>'Frein  marché par fillié NV (6)'!$A$10</c:f>
              <c:strCache>
                <c:ptCount val="1"/>
                <c:pt idx="0">
                  <c:v>Plantain</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'Frein  marché par fillié NV (6)'!$B$3:$Q$3</c:f>
              <c:strCache>
                <c:ptCount val="16"/>
                <c:pt idx="0">
                  <c:v>Stockage </c:v>
                </c:pt>
                <c:pt idx="1">
                  <c:v>Conditionnement</c:v>
                </c:pt>
                <c:pt idx="2">
                  <c:v>Conservation </c:v>
                </c:pt>
                <c:pt idx="3">
                  <c:v>Moyen de transport – FREIN (version détaillée comme tu veux)</c:v>
                </c:pt>
                <c:pt idx="4">
                  <c:v>Coût du transport – FREIN (version détaillée comme tu veux)</c:v>
                </c:pt>
                <c:pt idx="5">
                  <c:v>Formation normes &amp; qualité – FREIN</c:v>
                </c:pt>
                <c:pt idx="6">
                  <c:v>Formation administrative – FREIN</c:v>
                </c:pt>
                <c:pt idx="7">
                  <c:v>Formation numérique – FREIN</c:v>
                </c:pt>
                <c:pt idx="8">
                  <c:v>Formation marketing / négociations – FREIN</c:v>
                </c:pt>
                <c:pt idx="9">
                  <c:v>Financement équipement – FREIN</c:v>
                </c:pt>
                <c:pt idx="10">
                  <c:v>Financement formation normes/qualité – FREIN</c:v>
                </c:pt>
                <c:pt idx="11">
                  <c:v>Financement formation marketing / négociations– FREIN</c:v>
                </c:pt>
                <c:pt idx="12">
                  <c:v>Financement formation numérique – FREIN</c:v>
                </c:pt>
                <c:pt idx="13">
                  <c:v>Financement formation administrative – FREIN</c:v>
                </c:pt>
                <c:pt idx="14">
                  <c:v>Financement développement global – FREIN</c:v>
                </c:pt>
                <c:pt idx="15">
                  <c:v>Préfinancement commandes  – FREIN</c:v>
                </c:pt>
              </c:strCache>
            </c:strRef>
          </c:cat>
          <c:val>
            <c:numRef>
              <c:f>'Frein  marché par fillié NV (6)'!$B$10:$Q$10</c:f>
              <c:numCache>
                <c:formatCode>#\ ##0_ ;\-#\ ##0\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6-FB23-425C-A7E8-0F4ED34BF3B2}"/>
            </c:ext>
          </c:extLst>
        </c:ser>
        <c:dLbls>
          <c:dLblPos val="ctr"/>
          <c:showLegendKey val="0"/>
          <c:showVal val="1"/>
          <c:showCatName val="0"/>
          <c:showSerName val="0"/>
          <c:showPercent val="0"/>
          <c:showBubbleSize val="0"/>
        </c:dLbls>
        <c:gapWidth val="150"/>
        <c:overlap val="100"/>
        <c:axId val="1920681680"/>
        <c:axId val="1920682224"/>
      </c:barChart>
      <c:catAx>
        <c:axId val="1920681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0682224"/>
        <c:crosses val="autoZero"/>
        <c:auto val="1"/>
        <c:lblAlgn val="ctr"/>
        <c:lblOffset val="100"/>
        <c:noMultiLvlLbl val="0"/>
      </c:catAx>
      <c:valAx>
        <c:axId val="1920682224"/>
        <c:scaling>
          <c:orientation val="minMax"/>
        </c:scaling>
        <c:delete val="0"/>
        <c:axPos val="l"/>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0681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399587</xdr:colOff>
      <xdr:row>1</xdr:row>
      <xdr:rowOff>98611</xdr:rowOff>
    </xdr:from>
    <xdr:to>
      <xdr:col>18</xdr:col>
      <xdr:colOff>744072</xdr:colOff>
      <xdr:row>36</xdr:row>
      <xdr:rowOff>102218</xdr:rowOff>
    </xdr:to>
    <xdr:graphicFrame macro="">
      <xdr:nvGraphicFramePr>
        <xdr:cNvPr id="2" name="Graphique 1">
          <a:extLst>
            <a:ext uri="{FF2B5EF4-FFF2-40B4-BE49-F238E27FC236}">
              <a16:creationId xmlns:a16="http://schemas.microsoft.com/office/drawing/2014/main" xmlns="" id="{39E770AA-7920-FFBA-6468-C09B6132E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614084</xdr:colOff>
      <xdr:row>1</xdr:row>
      <xdr:rowOff>188259</xdr:rowOff>
    </xdr:from>
    <xdr:to>
      <xdr:col>14</xdr:col>
      <xdr:colOff>452719</xdr:colOff>
      <xdr:row>4</xdr:row>
      <xdr:rowOff>654424</xdr:rowOff>
    </xdr:to>
    <xdr:graphicFrame macro="">
      <xdr:nvGraphicFramePr>
        <xdr:cNvPr id="3" name="Graphique 2">
          <a:extLst>
            <a:ext uri="{FF2B5EF4-FFF2-40B4-BE49-F238E27FC236}">
              <a16:creationId xmlns:a16="http://schemas.microsoft.com/office/drawing/2014/main" xmlns="" id="{B371EB2B-D565-CB28-0A27-C3750AC82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20</xdr:col>
      <xdr:colOff>12201</xdr:colOff>
      <xdr:row>5</xdr:row>
      <xdr:rowOff>217618</xdr:rowOff>
    </xdr:from>
    <xdr:to>
      <xdr:col>28</xdr:col>
      <xdr:colOff>572242</xdr:colOff>
      <xdr:row>18</xdr:row>
      <xdr:rowOff>6245</xdr:rowOff>
    </xdr:to>
    <xdr:graphicFrame macro="">
      <xdr:nvGraphicFramePr>
        <xdr:cNvPr id="3" name="Graphique 2">
          <a:extLst>
            <a:ext uri="{FF2B5EF4-FFF2-40B4-BE49-F238E27FC236}">
              <a16:creationId xmlns:a16="http://schemas.microsoft.com/office/drawing/2014/main" xmlns="" id="{10861770-879C-5B5B-F6AE-5ACEC5588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441203</xdr:colOff>
      <xdr:row>9</xdr:row>
      <xdr:rowOff>165340</xdr:rowOff>
    </xdr:from>
    <xdr:to>
      <xdr:col>7</xdr:col>
      <xdr:colOff>301923</xdr:colOff>
      <xdr:row>47</xdr:row>
      <xdr:rowOff>14376</xdr:rowOff>
    </xdr:to>
    <xdr:graphicFrame macro="">
      <xdr:nvGraphicFramePr>
        <xdr:cNvPr id="2" name="Graphique 1">
          <a:extLst>
            <a:ext uri="{FF2B5EF4-FFF2-40B4-BE49-F238E27FC236}">
              <a16:creationId xmlns:a16="http://schemas.microsoft.com/office/drawing/2014/main" xmlns="" id="{F162F0BF-134D-2DD6-6C23-70F2EB5B3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873203</xdr:colOff>
      <xdr:row>2</xdr:row>
      <xdr:rowOff>67471</xdr:rowOff>
    </xdr:from>
    <xdr:to>
      <xdr:col>10</xdr:col>
      <xdr:colOff>301584</xdr:colOff>
      <xdr:row>11</xdr:row>
      <xdr:rowOff>152694</xdr:rowOff>
    </xdr:to>
    <xdr:graphicFrame macro="">
      <xdr:nvGraphicFramePr>
        <xdr:cNvPr id="2" name="Graphique 1">
          <a:extLst>
            <a:ext uri="{FF2B5EF4-FFF2-40B4-BE49-F238E27FC236}">
              <a16:creationId xmlns:a16="http://schemas.microsoft.com/office/drawing/2014/main" xmlns="" id="{FCFDD985-3443-490F-8738-A4F55C6E5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180975</xdr:colOff>
      <xdr:row>3</xdr:row>
      <xdr:rowOff>176212</xdr:rowOff>
    </xdr:from>
    <xdr:to>
      <xdr:col>11</xdr:col>
      <xdr:colOff>180975</xdr:colOff>
      <xdr:row>18</xdr:row>
      <xdr:rowOff>61912</xdr:rowOff>
    </xdr:to>
    <xdr:graphicFrame macro="">
      <xdr:nvGraphicFramePr>
        <xdr:cNvPr id="2" name="Graphique 1">
          <a:extLst>
            <a:ext uri="{FF2B5EF4-FFF2-40B4-BE49-F238E27FC236}">
              <a16:creationId xmlns:a16="http://schemas.microsoft.com/office/drawing/2014/main" xmlns="" id="{E0263EA4-AB34-A724-5AEB-051B00201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51045</xdr:colOff>
      <xdr:row>10</xdr:row>
      <xdr:rowOff>7314</xdr:rowOff>
    </xdr:from>
    <xdr:to>
      <xdr:col>15</xdr:col>
      <xdr:colOff>602374</xdr:colOff>
      <xdr:row>23</xdr:row>
      <xdr:rowOff>182774</xdr:rowOff>
    </xdr:to>
    <xdr:graphicFrame macro="">
      <xdr:nvGraphicFramePr>
        <xdr:cNvPr id="2" name="Graphique 1">
          <a:extLst>
            <a:ext uri="{FF2B5EF4-FFF2-40B4-BE49-F238E27FC236}">
              <a16:creationId xmlns:a16="http://schemas.microsoft.com/office/drawing/2014/main" xmlns="" id="{6EF330E9-7D1B-451E-A39C-06EAE04F9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51045</xdr:colOff>
      <xdr:row>10</xdr:row>
      <xdr:rowOff>7314</xdr:rowOff>
    </xdr:from>
    <xdr:to>
      <xdr:col>15</xdr:col>
      <xdr:colOff>602374</xdr:colOff>
      <xdr:row>23</xdr:row>
      <xdr:rowOff>182774</xdr:rowOff>
    </xdr:to>
    <xdr:graphicFrame macro="">
      <xdr:nvGraphicFramePr>
        <xdr:cNvPr id="2" name="Graphique 1">
          <a:extLst>
            <a:ext uri="{FF2B5EF4-FFF2-40B4-BE49-F238E27FC236}">
              <a16:creationId xmlns:a16="http://schemas.microsoft.com/office/drawing/2014/main" xmlns="" id="{016231EB-4CFF-441C-9823-25B45E6D6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51045</xdr:colOff>
      <xdr:row>10</xdr:row>
      <xdr:rowOff>7314</xdr:rowOff>
    </xdr:from>
    <xdr:to>
      <xdr:col>15</xdr:col>
      <xdr:colOff>602374</xdr:colOff>
      <xdr:row>23</xdr:row>
      <xdr:rowOff>182774</xdr:rowOff>
    </xdr:to>
    <xdr:graphicFrame macro="">
      <xdr:nvGraphicFramePr>
        <xdr:cNvPr id="2" name="Graphique 1">
          <a:extLst>
            <a:ext uri="{FF2B5EF4-FFF2-40B4-BE49-F238E27FC236}">
              <a16:creationId xmlns:a16="http://schemas.microsoft.com/office/drawing/2014/main" xmlns="" id="{C4F6CCD7-F6E1-4904-AF2B-884358561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38512</xdr:colOff>
      <xdr:row>10</xdr:row>
      <xdr:rowOff>7314</xdr:rowOff>
    </xdr:from>
    <xdr:to>
      <xdr:col>15</xdr:col>
      <xdr:colOff>589841</xdr:colOff>
      <xdr:row>23</xdr:row>
      <xdr:rowOff>182774</xdr:rowOff>
    </xdr:to>
    <xdr:graphicFrame macro="">
      <xdr:nvGraphicFramePr>
        <xdr:cNvPr id="2" name="Graphique 1">
          <a:extLst>
            <a:ext uri="{FF2B5EF4-FFF2-40B4-BE49-F238E27FC236}">
              <a16:creationId xmlns:a16="http://schemas.microsoft.com/office/drawing/2014/main" xmlns="" id="{9EED8A7E-09BA-4922-8C92-87891D446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51045</xdr:colOff>
      <xdr:row>10</xdr:row>
      <xdr:rowOff>7314</xdr:rowOff>
    </xdr:from>
    <xdr:to>
      <xdr:col>15</xdr:col>
      <xdr:colOff>602374</xdr:colOff>
      <xdr:row>23</xdr:row>
      <xdr:rowOff>182774</xdr:rowOff>
    </xdr:to>
    <xdr:graphicFrame macro="">
      <xdr:nvGraphicFramePr>
        <xdr:cNvPr id="2" name="Graphique 1">
          <a:extLst>
            <a:ext uri="{FF2B5EF4-FFF2-40B4-BE49-F238E27FC236}">
              <a16:creationId xmlns:a16="http://schemas.microsoft.com/office/drawing/2014/main" xmlns="" id="{303339BB-CA3E-44B4-B1B2-097BB54CA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
  <sheetViews>
    <sheetView showGridLines="0" zoomScale="86" zoomScaleNormal="86" workbookViewId="0">
      <pane xSplit="4" ySplit="4" topLeftCell="E11" activePane="bottomRight" state="frozen"/>
      <selection pane="topRight" activeCell="E1" sqref="E1"/>
      <selection pane="bottomLeft" activeCell="A4" sqref="A4"/>
      <selection pane="bottomRight" sqref="A1:J1"/>
    </sheetView>
  </sheetViews>
  <sheetFormatPr baseColWidth="10" defaultRowHeight="14.25"/>
  <cols>
    <col min="4" max="4" width="11.5" hidden="1" customWidth="1"/>
    <col min="5" max="5" width="12.375" customWidth="1"/>
    <col min="6" max="8" width="15.625" customWidth="1"/>
    <col min="9" max="9" width="18.375" style="14" customWidth="1"/>
    <col min="10" max="10" width="20.125" style="14" customWidth="1"/>
    <col min="11" max="15" width="15.625" style="14" customWidth="1"/>
    <col min="16" max="16" width="15.625" customWidth="1"/>
    <col min="18" max="18" width="16" customWidth="1"/>
    <col min="19" max="19" width="15.5" customWidth="1"/>
    <col min="20" max="20" width="17.875" customWidth="1"/>
    <col min="23" max="23" width="13.625" bestFit="1" customWidth="1"/>
  </cols>
  <sheetData>
    <row r="1" spans="1:23" ht="76.150000000000006" customHeight="1">
      <c r="A1" s="74" t="s">
        <v>44</v>
      </c>
      <c r="B1" s="74"/>
      <c r="C1" s="74"/>
      <c r="D1" s="74"/>
      <c r="E1" s="74"/>
      <c r="F1" s="74"/>
      <c r="G1" s="74"/>
      <c r="H1" s="74"/>
      <c r="I1" s="74"/>
      <c r="J1" s="74"/>
      <c r="K1"/>
      <c r="L1"/>
      <c r="M1"/>
      <c r="N1"/>
      <c r="O1"/>
    </row>
    <row r="2" spans="1:23" ht="28.35" customHeight="1">
      <c r="A2" t="s">
        <v>11</v>
      </c>
      <c r="B2" s="75" t="s">
        <v>45</v>
      </c>
      <c r="C2" s="75" t="s">
        <v>10</v>
      </c>
      <c r="D2" s="1" t="s">
        <v>11</v>
      </c>
      <c r="E2" s="77" t="s">
        <v>12</v>
      </c>
      <c r="F2" s="78"/>
      <c r="G2" s="77" t="s">
        <v>13</v>
      </c>
      <c r="H2" s="78"/>
      <c r="I2" s="79"/>
      <c r="J2" s="77" t="s">
        <v>14</v>
      </c>
      <c r="K2" s="79"/>
      <c r="L2" s="71" t="s">
        <v>15</v>
      </c>
      <c r="M2" s="72"/>
      <c r="N2" s="72"/>
      <c r="O2" s="73"/>
      <c r="P2" s="71" t="s">
        <v>16</v>
      </c>
      <c r="Q2" s="72"/>
      <c r="R2" s="72"/>
      <c r="S2" s="72"/>
      <c r="T2" s="72"/>
      <c r="U2" s="72"/>
      <c r="V2" s="72"/>
    </row>
    <row r="3" spans="1:23" ht="58.15" customHeight="1">
      <c r="B3" s="76"/>
      <c r="C3" s="76"/>
      <c r="D3" s="2" t="s">
        <v>17</v>
      </c>
      <c r="E3" s="3" t="s">
        <v>18</v>
      </c>
      <c r="F3" s="3" t="s">
        <v>19</v>
      </c>
      <c r="G3" s="3" t="s">
        <v>20</v>
      </c>
      <c r="H3" s="3" t="s">
        <v>21</v>
      </c>
      <c r="I3" s="2" t="s">
        <v>22</v>
      </c>
      <c r="J3" s="3" t="s">
        <v>23</v>
      </c>
      <c r="K3" s="3" t="s">
        <v>24</v>
      </c>
      <c r="L3" s="3" t="s">
        <v>25</v>
      </c>
      <c r="M3" s="3" t="s">
        <v>26</v>
      </c>
      <c r="N3" s="3" t="s">
        <v>27</v>
      </c>
      <c r="O3" s="3" t="s">
        <v>28</v>
      </c>
      <c r="P3" s="3" t="s">
        <v>29</v>
      </c>
      <c r="Q3" s="3" t="s">
        <v>30</v>
      </c>
      <c r="R3" s="3" t="s">
        <v>31</v>
      </c>
      <c r="S3" s="3" t="s">
        <v>32</v>
      </c>
      <c r="T3" s="3" t="s">
        <v>33</v>
      </c>
      <c r="U3" s="3" t="s">
        <v>34</v>
      </c>
      <c r="V3" s="3" t="s">
        <v>35</v>
      </c>
    </row>
    <row r="4" spans="1:23" s="9" customFormat="1" ht="82.9" hidden="1" customHeight="1">
      <c r="B4" s="10">
        <v>1</v>
      </c>
      <c r="C4" s="11" t="s">
        <v>4</v>
      </c>
      <c r="D4" s="10"/>
      <c r="E4" s="10" t="s">
        <v>46</v>
      </c>
      <c r="F4" s="10" t="s">
        <v>47</v>
      </c>
      <c r="G4" s="10"/>
      <c r="H4" s="10"/>
      <c r="I4" s="10"/>
      <c r="J4" s="10"/>
      <c r="K4" s="10"/>
      <c r="L4" s="10"/>
      <c r="M4" s="10"/>
      <c r="N4" s="10"/>
      <c r="O4" s="10"/>
      <c r="P4" s="10"/>
      <c r="Q4" s="10"/>
      <c r="R4" s="10"/>
      <c r="S4" s="10"/>
      <c r="T4" s="10"/>
      <c r="U4" s="10"/>
      <c r="V4" s="10"/>
    </row>
    <row r="5" spans="1:23" ht="82.9" customHeight="1">
      <c r="B5" s="12">
        <v>2</v>
      </c>
      <c r="C5" s="2" t="s">
        <v>48</v>
      </c>
      <c r="D5" s="12" t="s">
        <v>49</v>
      </c>
      <c r="E5" s="43">
        <f>+'Veille sur le marché'!$B$4</f>
        <v>5</v>
      </c>
      <c r="F5" s="43">
        <f>+'Veille sur le marché'!$B$5</f>
        <v>5</v>
      </c>
      <c r="G5" s="43">
        <f>+'Frein au marché '!B4</f>
        <v>11</v>
      </c>
      <c r="H5" s="43">
        <f>+'Frein au marché '!C4</f>
        <v>8</v>
      </c>
      <c r="I5" s="43">
        <f>+'Frein au marché '!D4</f>
        <v>9</v>
      </c>
      <c r="J5" s="43">
        <f>+'Frein au marché '!E4</f>
        <v>9</v>
      </c>
      <c r="K5" s="43">
        <f>+'Frein au marché '!F4</f>
        <v>9</v>
      </c>
      <c r="L5" s="43">
        <f>+'Frein au marché '!G4</f>
        <v>10</v>
      </c>
      <c r="M5" s="43">
        <f>+'Frein au marché '!H4</f>
        <v>11</v>
      </c>
      <c r="N5" s="43">
        <f>+'Frein au marché '!I4</f>
        <v>9</v>
      </c>
      <c r="O5" s="43">
        <f>+'Frein au marché '!J4</f>
        <v>9</v>
      </c>
      <c r="P5" s="43">
        <f>+'Frein au marché '!K4</f>
        <v>14</v>
      </c>
      <c r="Q5" s="43">
        <f>+'Frein au marché '!L4</f>
        <v>14</v>
      </c>
      <c r="R5" s="43">
        <f>+'Frein au marché '!M4</f>
        <v>13</v>
      </c>
      <c r="S5" s="43">
        <f>+'Frein au marché '!N4</f>
        <v>11</v>
      </c>
      <c r="T5" s="43">
        <f>+'Frein au marché '!O4</f>
        <v>13</v>
      </c>
      <c r="U5" s="43">
        <f>+'Frein au marché '!P4</f>
        <v>14</v>
      </c>
      <c r="V5" s="43">
        <f>+'Frein au marché '!Q4</f>
        <v>14</v>
      </c>
      <c r="W5" s="44">
        <f t="shared" ref="W5:W10" si="0">SUM(E5:V5)</f>
        <v>188</v>
      </c>
    </row>
    <row r="6" spans="1:23" ht="82.9" customHeight="1">
      <c r="B6" s="12">
        <v>3</v>
      </c>
      <c r="C6" s="2" t="s">
        <v>50</v>
      </c>
      <c r="D6" s="12" t="s">
        <v>49</v>
      </c>
      <c r="E6" s="43">
        <f>+'Veille sur le marché'!$C$4</f>
        <v>21</v>
      </c>
      <c r="F6" s="43">
        <f>+'Veille sur le marché'!$C$5</f>
        <v>20</v>
      </c>
      <c r="G6" s="43">
        <f>+'Frein au marché '!B5</f>
        <v>18</v>
      </c>
      <c r="H6" s="43">
        <f>+'Frein au marché '!C5</f>
        <v>16</v>
      </c>
      <c r="I6" s="43">
        <f>+'Frein au marché '!D5</f>
        <v>15</v>
      </c>
      <c r="J6" s="43">
        <f>+'Frein au marché '!E5</f>
        <v>22</v>
      </c>
      <c r="K6" s="43">
        <f>+'Frein au marché '!F5</f>
        <v>20</v>
      </c>
      <c r="L6" s="43">
        <f>+'Frein au marché '!G5</f>
        <v>15</v>
      </c>
      <c r="M6" s="43">
        <f>+'Frein au marché '!H5</f>
        <v>14</v>
      </c>
      <c r="N6" s="43">
        <f>+'Frein au marché '!I5</f>
        <v>13</v>
      </c>
      <c r="O6" s="43">
        <f>+'Frein au marché '!J5</f>
        <v>13</v>
      </c>
      <c r="P6" s="43">
        <f>+'Frein au marché '!K5</f>
        <v>18</v>
      </c>
      <c r="Q6" s="43">
        <f>+'Frein au marché '!L5</f>
        <v>18</v>
      </c>
      <c r="R6" s="43">
        <f>+'Frein au marché '!M5</f>
        <v>18</v>
      </c>
      <c r="S6" s="43">
        <f>+'Frein au marché '!N5</f>
        <v>17</v>
      </c>
      <c r="T6" s="43">
        <f>+'Frein au marché '!O5</f>
        <v>18</v>
      </c>
      <c r="U6" s="43">
        <f>+'Frein au marché '!P5</f>
        <v>21</v>
      </c>
      <c r="V6" s="43">
        <f>+'Frein au marché '!Q5</f>
        <v>20</v>
      </c>
      <c r="W6" s="44">
        <f t="shared" si="0"/>
        <v>317</v>
      </c>
    </row>
    <row r="7" spans="1:23" ht="82.9" customHeight="1">
      <c r="B7" s="12">
        <v>4</v>
      </c>
      <c r="C7" s="2" t="s">
        <v>51</v>
      </c>
      <c r="D7" s="12" t="s">
        <v>49</v>
      </c>
      <c r="E7" s="43">
        <f>+'Veille sur le marché'!$D$4</f>
        <v>10</v>
      </c>
      <c r="F7" s="43">
        <f>+'Veille sur le marché'!$D$5</f>
        <v>10</v>
      </c>
      <c r="G7" s="43">
        <f>+'Frein au marché '!B6</f>
        <v>9</v>
      </c>
      <c r="H7" s="43">
        <f>+'Frein au marché '!C6</f>
        <v>9</v>
      </c>
      <c r="I7" s="43">
        <f>+'Frein au marché '!D6</f>
        <v>8</v>
      </c>
      <c r="J7" s="43">
        <f>+'Frein au marché '!E6</f>
        <v>6</v>
      </c>
      <c r="K7" s="43">
        <f>+'Frein au marché '!F6</f>
        <v>6</v>
      </c>
      <c r="L7" s="43">
        <f>+'Frein au marché '!G6</f>
        <v>6</v>
      </c>
      <c r="M7" s="43">
        <f>+'Frein au marché '!H6</f>
        <v>6</v>
      </c>
      <c r="N7" s="43">
        <f>+'Frein au marché '!I6</f>
        <v>6</v>
      </c>
      <c r="O7" s="43">
        <f>+'Frein au marché '!J6</f>
        <v>9</v>
      </c>
      <c r="P7" s="43">
        <f>+'Frein au marché '!K6</f>
        <v>9</v>
      </c>
      <c r="Q7" s="43">
        <f>+'Frein au marché '!L6</f>
        <v>10</v>
      </c>
      <c r="R7" s="43">
        <f>+'Frein au marché '!M6</f>
        <v>7</v>
      </c>
      <c r="S7" s="43">
        <f>+'Frein au marché '!N6</f>
        <v>7</v>
      </c>
      <c r="T7" s="43">
        <f>+'Frein au marché '!O6</f>
        <v>10</v>
      </c>
      <c r="U7" s="43">
        <f>+'Frein au marché '!P6</f>
        <v>10</v>
      </c>
      <c r="V7" s="43">
        <f>+'Frein au marché '!Q6</f>
        <v>10</v>
      </c>
      <c r="W7" s="44">
        <f t="shared" si="0"/>
        <v>148</v>
      </c>
    </row>
    <row r="8" spans="1:23" ht="82.9" customHeight="1">
      <c r="B8" s="12">
        <v>5</v>
      </c>
      <c r="C8" s="2" t="s">
        <v>52</v>
      </c>
      <c r="D8" s="12" t="s">
        <v>49</v>
      </c>
      <c r="E8" s="43">
        <f>+'Veille sur le marché'!$E$4</f>
        <v>8</v>
      </c>
      <c r="F8" s="43">
        <f>+'Veille sur le marché'!$E$5</f>
        <v>5</v>
      </c>
      <c r="G8" s="43">
        <f>+'Frein au marché '!B7</f>
        <v>8</v>
      </c>
      <c r="H8" s="43">
        <f>+'Frein au marché '!C7</f>
        <v>5</v>
      </c>
      <c r="I8" s="43">
        <f>+'Frein au marché '!D7</f>
        <v>9</v>
      </c>
      <c r="J8" s="43">
        <f>+'Frein au marché '!E7</f>
        <v>10</v>
      </c>
      <c r="K8" s="43">
        <f>+'Frein au marché '!F7</f>
        <v>10</v>
      </c>
      <c r="L8" s="43">
        <f>+'Frein au marché '!G7</f>
        <v>10</v>
      </c>
      <c r="M8" s="43">
        <f>+'Frein au marché '!H7</f>
        <v>8</v>
      </c>
      <c r="N8" s="43">
        <f>+'Frein au marché '!I7</f>
        <v>7</v>
      </c>
      <c r="O8" s="43">
        <f>+'Frein au marché '!J7</f>
        <v>9</v>
      </c>
      <c r="P8" s="43">
        <f>+'Frein au marché '!K7</f>
        <v>12</v>
      </c>
      <c r="Q8" s="43">
        <f>+'Frein au marché '!L7</f>
        <v>12</v>
      </c>
      <c r="R8" s="43">
        <f>+'Frein au marché '!M7</f>
        <v>9</v>
      </c>
      <c r="S8" s="43">
        <f>+'Frein au marché '!N7</f>
        <v>8</v>
      </c>
      <c r="T8" s="43">
        <f>+'Frein au marché '!O7</f>
        <v>12</v>
      </c>
      <c r="U8" s="43">
        <f>+'Frein au marché '!P7</f>
        <v>12</v>
      </c>
      <c r="V8" s="43">
        <f>+'Frein au marché '!Q7</f>
        <v>11</v>
      </c>
      <c r="W8" s="44">
        <f t="shared" si="0"/>
        <v>165</v>
      </c>
    </row>
    <row r="9" spans="1:23" ht="82.9" customHeight="1">
      <c r="B9" s="12">
        <v>6</v>
      </c>
      <c r="C9" s="2" t="s">
        <v>151</v>
      </c>
      <c r="D9" s="12" t="s">
        <v>49</v>
      </c>
      <c r="E9" s="43">
        <f>+'Veille sur le marché'!$F$4</f>
        <v>23</v>
      </c>
      <c r="F9" s="43">
        <f>+'Veille sur le marché'!$F$5</f>
        <v>23</v>
      </c>
      <c r="G9" s="43">
        <f>+'Frein au marché '!B8</f>
        <v>20</v>
      </c>
      <c r="H9" s="43">
        <f>+'Frein au marché '!C8</f>
        <v>18</v>
      </c>
      <c r="I9" s="43">
        <f>+'Frein au marché '!D8</f>
        <v>20</v>
      </c>
      <c r="J9" s="43">
        <f>+'Frein au marché '!E8</f>
        <v>21</v>
      </c>
      <c r="K9" s="43">
        <f>+'Frein au marché '!F8</f>
        <v>25</v>
      </c>
      <c r="L9" s="43">
        <f>+'Frein au marché '!G8</f>
        <v>24</v>
      </c>
      <c r="M9" s="43">
        <f>+'Frein au marché '!H8</f>
        <v>20</v>
      </c>
      <c r="N9" s="43">
        <f>+'Frein au marché '!I8</f>
        <v>19</v>
      </c>
      <c r="O9" s="43">
        <f>+'Frein au marché '!J8</f>
        <v>23</v>
      </c>
      <c r="P9" s="43">
        <f>+'Frein au marché '!K8</f>
        <v>24</v>
      </c>
      <c r="Q9" s="43">
        <f>+'Frein au marché '!L8</f>
        <v>25</v>
      </c>
      <c r="R9" s="43">
        <f>+'Frein au marché '!M8</f>
        <v>21</v>
      </c>
      <c r="S9" s="43">
        <f>+'Frein au marché '!N8</f>
        <v>21</v>
      </c>
      <c r="T9" s="43">
        <f>+'Frein au marché '!O8</f>
        <v>25</v>
      </c>
      <c r="U9" s="43">
        <f>+'Frein au marché '!P8</f>
        <v>25</v>
      </c>
      <c r="V9" s="43">
        <f>+'Frein au marché '!Q8</f>
        <v>24</v>
      </c>
      <c r="W9" s="44">
        <f t="shared" si="0"/>
        <v>401</v>
      </c>
    </row>
    <row r="10" spans="1:23" ht="82.9" customHeight="1">
      <c r="B10" s="12">
        <v>7</v>
      </c>
      <c r="C10" s="2" t="s">
        <v>9</v>
      </c>
      <c r="D10" s="12" t="s">
        <v>49</v>
      </c>
      <c r="E10" s="43">
        <f>+'Veille sur le marché'!$G$4</f>
        <v>21</v>
      </c>
      <c r="F10" s="43">
        <f>+'Veille sur le marché'!$G$5</f>
        <v>21</v>
      </c>
      <c r="G10" s="43">
        <f>+'Frein au marché '!B9</f>
        <v>19</v>
      </c>
      <c r="H10" s="43">
        <f>+'Frein au marché '!C9</f>
        <v>17</v>
      </c>
      <c r="I10" s="43">
        <f>+'Frein au marché '!D9</f>
        <v>21</v>
      </c>
      <c r="J10" s="43">
        <f>+'Frein au marché '!E9</f>
        <v>21</v>
      </c>
      <c r="K10" s="43">
        <f>+'Frein au marché '!F9</f>
        <v>22</v>
      </c>
      <c r="L10" s="43">
        <f>+'Frein au marché '!G9</f>
        <v>20</v>
      </c>
      <c r="M10" s="43">
        <f>+'Frein au marché '!H9</f>
        <v>18</v>
      </c>
      <c r="N10" s="43">
        <f>+'Frein au marché '!I9</f>
        <v>17</v>
      </c>
      <c r="O10" s="43">
        <f>+'Frein au marché '!J9</f>
        <v>20</v>
      </c>
      <c r="P10" s="43">
        <f>+'Frein au marché '!K9</f>
        <v>22</v>
      </c>
      <c r="Q10" s="43">
        <f>+'Frein au marché '!L9</f>
        <v>22</v>
      </c>
      <c r="R10" s="43">
        <f>+'Frein au marché '!M9</f>
        <v>18</v>
      </c>
      <c r="S10" s="43">
        <f>+'Frein au marché '!N9</f>
        <v>18</v>
      </c>
      <c r="T10" s="43">
        <f>+'Frein au marché '!O9</f>
        <v>22</v>
      </c>
      <c r="U10" s="43">
        <f>+'Frein au marché '!P9</f>
        <v>22</v>
      </c>
      <c r="V10" s="43">
        <f>+'Frein au marché '!Q9</f>
        <v>22</v>
      </c>
      <c r="W10" s="44">
        <f t="shared" si="0"/>
        <v>363</v>
      </c>
    </row>
    <row r="11" spans="1:23" ht="82.9" customHeight="1">
      <c r="I11" s="13"/>
      <c r="J11" s="13"/>
      <c r="K11" s="13"/>
      <c r="L11" s="13"/>
      <c r="M11" s="13"/>
      <c r="N11" s="13"/>
      <c r="O11" s="13"/>
    </row>
    <row r="12" spans="1:23" ht="82.9" customHeight="1">
      <c r="I12" s="13"/>
      <c r="J12" s="13"/>
      <c r="K12" s="13"/>
      <c r="L12" s="13"/>
      <c r="M12" s="13"/>
      <c r="N12" s="13"/>
      <c r="O12" s="13"/>
    </row>
    <row r="13" spans="1:23">
      <c r="I13" s="13"/>
      <c r="J13" s="13"/>
      <c r="K13" s="13"/>
      <c r="L13" s="13"/>
      <c r="M13" s="13"/>
      <c r="N13" s="13"/>
      <c r="O13" s="13"/>
    </row>
    <row r="14" spans="1:23">
      <c r="I14" s="13"/>
      <c r="J14" s="13"/>
      <c r="K14" s="13"/>
      <c r="L14" s="13"/>
      <c r="M14" s="13"/>
      <c r="N14" s="13"/>
      <c r="O14" s="13"/>
    </row>
    <row r="15" spans="1:23">
      <c r="I15" s="13"/>
      <c r="J15" s="13"/>
      <c r="K15" s="13"/>
      <c r="L15" s="13"/>
      <c r="M15" s="13"/>
      <c r="N15" s="13"/>
      <c r="O15" s="13"/>
    </row>
    <row r="16" spans="1:23">
      <c r="I16" s="13"/>
      <c r="J16" s="13"/>
      <c r="K16" s="13"/>
      <c r="L16" s="13"/>
      <c r="M16" s="13"/>
      <c r="N16" s="13"/>
      <c r="O16" s="13"/>
    </row>
    <row r="17" spans="9:15">
      <c r="I17" s="13"/>
      <c r="J17" s="13"/>
      <c r="K17" s="13"/>
      <c r="L17" s="13"/>
      <c r="M17" s="13"/>
      <c r="N17" s="13"/>
      <c r="O17" s="13"/>
    </row>
    <row r="18" spans="9:15">
      <c r="I18" s="13"/>
      <c r="J18" s="13"/>
      <c r="K18" s="13"/>
      <c r="L18" s="13"/>
      <c r="M18" s="13"/>
      <c r="N18" s="13"/>
      <c r="O18" s="13"/>
    </row>
    <row r="19" spans="9:15">
      <c r="I19" s="13"/>
      <c r="J19" s="13"/>
      <c r="K19" s="13"/>
      <c r="L19" s="13"/>
      <c r="M19" s="13"/>
      <c r="N19" s="13"/>
      <c r="O19" s="13"/>
    </row>
    <row r="20" spans="9:15">
      <c r="I20" s="13"/>
      <c r="J20" s="13"/>
      <c r="K20" s="13"/>
      <c r="L20" s="13"/>
      <c r="M20" s="13"/>
      <c r="N20" s="13"/>
      <c r="O20" s="13"/>
    </row>
    <row r="21" spans="9:15">
      <c r="I21" s="13"/>
      <c r="J21" s="13"/>
      <c r="K21" s="13"/>
      <c r="L21" s="13"/>
      <c r="M21" s="13"/>
      <c r="N21" s="13"/>
      <c r="O21" s="13"/>
    </row>
    <row r="22" spans="9:15">
      <c r="I22" s="13"/>
      <c r="J22" s="13"/>
      <c r="K22" s="13"/>
      <c r="L22" s="13"/>
      <c r="M22" s="13"/>
      <c r="N22" s="13"/>
      <c r="O22" s="13"/>
    </row>
    <row r="23" spans="9:15">
      <c r="I23" s="13"/>
      <c r="J23" s="13"/>
      <c r="K23" s="13"/>
      <c r="L23" s="13"/>
      <c r="M23" s="13"/>
      <c r="N23" s="13"/>
      <c r="O23" s="13"/>
    </row>
    <row r="24" spans="9:15">
      <c r="I24" s="13"/>
      <c r="J24" s="13"/>
      <c r="K24" s="13"/>
      <c r="L24" s="13"/>
      <c r="M24" s="13"/>
      <c r="N24" s="13"/>
      <c r="O24" s="13"/>
    </row>
    <row r="25" spans="9:15">
      <c r="I25" s="13"/>
      <c r="J25" s="13"/>
      <c r="K25" s="13"/>
      <c r="L25" s="13"/>
      <c r="M25" s="13"/>
      <c r="N25" s="13"/>
      <c r="O25" s="13"/>
    </row>
    <row r="26" spans="9:15">
      <c r="I26" s="13"/>
      <c r="J26" s="13"/>
      <c r="K26" s="13"/>
      <c r="L26" s="13"/>
      <c r="M26" s="13"/>
      <c r="N26" s="13"/>
      <c r="O26" s="13"/>
    </row>
    <row r="27" spans="9:15">
      <c r="I27" s="13"/>
      <c r="J27" s="13"/>
      <c r="K27" s="13"/>
      <c r="L27" s="13"/>
      <c r="M27" s="13"/>
      <c r="N27" s="13"/>
      <c r="O27" s="13"/>
    </row>
    <row r="28" spans="9:15">
      <c r="I28" s="13"/>
      <c r="J28" s="13"/>
      <c r="K28" s="13"/>
      <c r="L28" s="13"/>
      <c r="M28" s="13"/>
      <c r="N28" s="13"/>
      <c r="O28" s="13"/>
    </row>
    <row r="29" spans="9:15">
      <c r="I29" s="13"/>
      <c r="J29" s="13"/>
      <c r="K29" s="13"/>
      <c r="L29" s="13"/>
      <c r="M29" s="13"/>
      <c r="N29" s="13"/>
      <c r="O29" s="13"/>
    </row>
    <row r="30" spans="9:15">
      <c r="I30" s="13"/>
      <c r="J30" s="13"/>
      <c r="K30" s="13"/>
      <c r="L30" s="13"/>
      <c r="M30" s="13"/>
      <c r="N30" s="13"/>
      <c r="O30" s="13"/>
    </row>
    <row r="31" spans="9:15">
      <c r="I31" s="13"/>
      <c r="J31" s="13"/>
      <c r="K31" s="13"/>
      <c r="L31" s="13"/>
      <c r="M31" s="13"/>
      <c r="N31" s="13"/>
      <c r="O31" s="13"/>
    </row>
    <row r="32" spans="9:15">
      <c r="I32" s="13"/>
      <c r="J32" s="13"/>
      <c r="K32" s="13"/>
      <c r="L32" s="13"/>
      <c r="M32" s="13"/>
      <c r="N32" s="13"/>
      <c r="O32" s="13"/>
    </row>
    <row r="33" spans="9:15">
      <c r="I33" s="13"/>
      <c r="J33" s="13"/>
      <c r="K33" s="13"/>
      <c r="L33" s="13"/>
      <c r="M33" s="13"/>
      <c r="N33" s="13"/>
      <c r="O33" s="13"/>
    </row>
    <row r="34" spans="9:15">
      <c r="I34" s="13"/>
      <c r="J34" s="13"/>
      <c r="K34" s="13"/>
      <c r="L34" s="13"/>
      <c r="M34" s="13"/>
      <c r="N34" s="13"/>
      <c r="O34" s="13"/>
    </row>
    <row r="35" spans="9:15">
      <c r="I35" s="13"/>
      <c r="J35" s="13"/>
      <c r="K35" s="13"/>
      <c r="L35" s="13"/>
      <c r="M35" s="13"/>
      <c r="N35" s="13"/>
      <c r="O35" s="13"/>
    </row>
    <row r="36" spans="9:15">
      <c r="I36" s="13"/>
      <c r="J36" s="13"/>
      <c r="K36" s="13"/>
      <c r="L36" s="13"/>
      <c r="M36" s="13"/>
      <c r="N36" s="13"/>
      <c r="O36" s="13"/>
    </row>
    <row r="37" spans="9:15">
      <c r="I37" s="13"/>
      <c r="J37" s="13"/>
      <c r="K37" s="13"/>
      <c r="L37" s="13"/>
      <c r="M37" s="13"/>
      <c r="N37" s="13"/>
      <c r="O37" s="13"/>
    </row>
    <row r="38" spans="9:15">
      <c r="I38" s="13"/>
      <c r="J38" s="13"/>
      <c r="K38" s="13"/>
      <c r="L38" s="13"/>
      <c r="M38" s="13"/>
      <c r="N38" s="13"/>
      <c r="O38" s="13"/>
    </row>
    <row r="39" spans="9:15">
      <c r="I39" s="13"/>
      <c r="J39" s="13"/>
      <c r="K39" s="13"/>
      <c r="L39" s="13"/>
      <c r="M39" s="13"/>
      <c r="N39" s="13"/>
      <c r="O39" s="13"/>
    </row>
    <row r="40" spans="9:15">
      <c r="I40" s="13"/>
      <c r="J40" s="13"/>
      <c r="K40" s="13"/>
      <c r="L40" s="13"/>
      <c r="M40" s="13"/>
      <c r="N40" s="13"/>
      <c r="O40" s="13"/>
    </row>
    <row r="41" spans="9:15">
      <c r="I41" s="13"/>
      <c r="J41" s="13"/>
      <c r="K41" s="13"/>
      <c r="L41" s="13"/>
      <c r="M41" s="13"/>
      <c r="N41" s="13"/>
      <c r="O41" s="13"/>
    </row>
    <row r="42" spans="9:15">
      <c r="I42" s="13"/>
      <c r="J42" s="13"/>
      <c r="K42" s="13"/>
      <c r="L42" s="13"/>
      <c r="M42" s="13"/>
      <c r="N42" s="13"/>
      <c r="O42" s="13"/>
    </row>
    <row r="43" spans="9:15">
      <c r="I43" s="13"/>
      <c r="J43" s="13"/>
      <c r="K43" s="13"/>
      <c r="L43" s="13"/>
      <c r="M43" s="13"/>
      <c r="N43" s="13"/>
      <c r="O43" s="13"/>
    </row>
    <row r="44" spans="9:15">
      <c r="I44" s="13"/>
      <c r="J44" s="13"/>
      <c r="K44" s="13"/>
      <c r="L44" s="13"/>
      <c r="M44" s="13"/>
      <c r="N44" s="13"/>
      <c r="O44" s="13"/>
    </row>
    <row r="45" spans="9:15">
      <c r="I45" s="13"/>
      <c r="J45" s="13"/>
      <c r="K45" s="13"/>
      <c r="L45" s="13"/>
      <c r="M45" s="13"/>
      <c r="N45" s="13"/>
      <c r="O45" s="13"/>
    </row>
    <row r="46" spans="9:15">
      <c r="I46" s="13"/>
      <c r="J46" s="13"/>
      <c r="K46" s="13"/>
      <c r="L46" s="13"/>
      <c r="M46" s="13"/>
      <c r="N46" s="13"/>
      <c r="O46" s="13"/>
    </row>
    <row r="47" spans="9:15">
      <c r="I47" s="13"/>
      <c r="J47" s="13"/>
      <c r="K47" s="13"/>
      <c r="L47" s="13"/>
      <c r="M47" s="13"/>
      <c r="N47" s="13"/>
      <c r="O47" s="13"/>
    </row>
    <row r="48" spans="9:15">
      <c r="I48" s="13"/>
      <c r="J48" s="13"/>
      <c r="K48" s="13"/>
      <c r="L48" s="13"/>
      <c r="M48" s="13"/>
      <c r="N48" s="13"/>
      <c r="O48" s="13"/>
    </row>
    <row r="49" spans="9:15">
      <c r="I49" s="13"/>
      <c r="J49" s="13"/>
      <c r="K49" s="13"/>
      <c r="L49" s="13"/>
      <c r="M49" s="13"/>
      <c r="N49" s="13"/>
      <c r="O49" s="13"/>
    </row>
    <row r="50" spans="9:15">
      <c r="I50" s="13"/>
      <c r="J50" s="13"/>
      <c r="K50" s="13"/>
      <c r="L50" s="13"/>
      <c r="M50" s="13"/>
      <c r="N50" s="13"/>
      <c r="O50" s="13"/>
    </row>
    <row r="51" spans="9:15">
      <c r="I51" s="13"/>
      <c r="J51" s="13"/>
      <c r="K51" s="13"/>
      <c r="L51" s="13"/>
      <c r="M51" s="13"/>
      <c r="N51" s="13"/>
      <c r="O51" s="13"/>
    </row>
    <row r="52" spans="9:15">
      <c r="I52" s="13"/>
      <c r="J52" s="13"/>
      <c r="K52" s="13"/>
      <c r="L52" s="13"/>
      <c r="M52" s="13"/>
      <c r="N52" s="13"/>
      <c r="O52" s="13"/>
    </row>
    <row r="53" spans="9:15">
      <c r="I53" s="13"/>
      <c r="J53" s="13"/>
      <c r="K53" s="13"/>
      <c r="L53" s="13"/>
      <c r="M53" s="13"/>
      <c r="N53" s="13"/>
      <c r="O53" s="13"/>
    </row>
    <row r="54" spans="9:15">
      <c r="I54" s="13"/>
      <c r="J54" s="13"/>
      <c r="K54" s="13"/>
      <c r="L54" s="13"/>
      <c r="M54" s="13"/>
      <c r="N54" s="13"/>
      <c r="O54" s="13"/>
    </row>
    <row r="55" spans="9:15">
      <c r="I55" s="13"/>
      <c r="J55" s="13"/>
      <c r="K55" s="13"/>
      <c r="L55" s="13"/>
      <c r="M55" s="13"/>
      <c r="N55" s="13"/>
      <c r="O55" s="13"/>
    </row>
    <row r="56" spans="9:15">
      <c r="I56" s="13"/>
      <c r="J56" s="13"/>
      <c r="K56" s="13"/>
      <c r="L56" s="13"/>
      <c r="M56" s="13"/>
      <c r="N56" s="13"/>
      <c r="O56" s="13"/>
    </row>
    <row r="57" spans="9:15">
      <c r="I57" s="13"/>
      <c r="J57" s="13"/>
      <c r="K57" s="13"/>
      <c r="L57" s="13"/>
      <c r="M57" s="13"/>
      <c r="N57" s="13"/>
      <c r="O57" s="13"/>
    </row>
    <row r="58" spans="9:15">
      <c r="I58" s="13"/>
      <c r="J58" s="13"/>
      <c r="K58" s="13"/>
      <c r="L58" s="13"/>
      <c r="M58" s="13"/>
      <c r="N58" s="13"/>
      <c r="O58" s="13"/>
    </row>
    <row r="59" spans="9:15">
      <c r="I59" s="13"/>
      <c r="J59" s="13"/>
      <c r="K59" s="13"/>
      <c r="L59" s="13"/>
      <c r="M59" s="13"/>
      <c r="N59" s="13"/>
      <c r="O59" s="13"/>
    </row>
    <row r="60" spans="9:15">
      <c r="I60" s="13"/>
      <c r="J60" s="13"/>
      <c r="K60" s="13"/>
      <c r="L60" s="13"/>
      <c r="M60" s="13"/>
      <c r="N60" s="13"/>
      <c r="O60" s="13"/>
    </row>
    <row r="61" spans="9:15">
      <c r="I61" s="13"/>
      <c r="J61" s="13"/>
      <c r="K61" s="13"/>
      <c r="L61" s="13"/>
      <c r="M61" s="13"/>
      <c r="N61" s="13"/>
      <c r="O61" s="13"/>
    </row>
    <row r="62" spans="9:15">
      <c r="I62" s="13"/>
      <c r="J62" s="13"/>
      <c r="K62" s="13"/>
      <c r="L62" s="13"/>
      <c r="M62" s="13"/>
      <c r="N62" s="13"/>
      <c r="O62" s="13"/>
    </row>
    <row r="63" spans="9:15">
      <c r="I63" s="13"/>
      <c r="J63" s="13"/>
      <c r="K63" s="13"/>
      <c r="L63" s="13"/>
      <c r="M63" s="13"/>
      <c r="N63" s="13"/>
      <c r="O63" s="13"/>
    </row>
    <row r="64" spans="9:15">
      <c r="I64" s="13"/>
      <c r="J64" s="13"/>
      <c r="K64" s="13"/>
      <c r="L64" s="13"/>
      <c r="M64" s="13"/>
      <c r="N64" s="13"/>
      <c r="O64" s="13"/>
    </row>
    <row r="65" spans="9:15">
      <c r="I65" s="13"/>
      <c r="J65" s="13"/>
      <c r="K65" s="13"/>
      <c r="L65" s="13"/>
      <c r="M65" s="13"/>
      <c r="N65" s="13"/>
      <c r="O65" s="13"/>
    </row>
    <row r="66" spans="9:15">
      <c r="I66" s="13"/>
      <c r="J66" s="13"/>
      <c r="K66" s="13"/>
      <c r="L66" s="13"/>
      <c r="M66" s="13"/>
      <c r="N66" s="13"/>
      <c r="O66" s="13"/>
    </row>
    <row r="67" spans="9:15">
      <c r="I67" s="13"/>
      <c r="J67" s="13"/>
      <c r="K67" s="13"/>
      <c r="L67" s="13"/>
      <c r="M67" s="13"/>
      <c r="N67" s="13"/>
      <c r="O67" s="13"/>
    </row>
    <row r="68" spans="9:15">
      <c r="I68" s="13"/>
      <c r="J68" s="13"/>
      <c r="K68" s="13"/>
      <c r="L68" s="13"/>
      <c r="M68" s="13"/>
      <c r="N68" s="13"/>
      <c r="O68" s="13"/>
    </row>
    <row r="69" spans="9:15">
      <c r="I69" s="13"/>
      <c r="J69" s="13"/>
      <c r="K69" s="13"/>
      <c r="L69" s="13"/>
      <c r="M69" s="13"/>
      <c r="N69" s="13"/>
      <c r="O69" s="13"/>
    </row>
    <row r="70" spans="9:15">
      <c r="I70" s="13"/>
      <c r="J70" s="13"/>
      <c r="K70" s="13"/>
      <c r="L70" s="13"/>
      <c r="M70" s="13"/>
      <c r="N70" s="13"/>
      <c r="O70" s="13"/>
    </row>
    <row r="71" spans="9:15">
      <c r="I71" s="13"/>
      <c r="J71" s="13"/>
      <c r="K71" s="13"/>
      <c r="L71" s="13"/>
      <c r="M71" s="13"/>
      <c r="N71" s="13"/>
      <c r="O71" s="13"/>
    </row>
    <row r="72" spans="9:15">
      <c r="I72" s="13"/>
      <c r="J72" s="13"/>
      <c r="K72" s="13"/>
      <c r="L72" s="13"/>
      <c r="M72" s="13"/>
      <c r="N72" s="13"/>
      <c r="O72" s="13"/>
    </row>
    <row r="73" spans="9:15">
      <c r="I73" s="13"/>
      <c r="J73" s="13"/>
      <c r="K73" s="13"/>
      <c r="L73" s="13"/>
      <c r="M73" s="13"/>
      <c r="N73" s="13"/>
      <c r="O73" s="13"/>
    </row>
    <row r="74" spans="9:15">
      <c r="I74" s="13"/>
      <c r="J74" s="13"/>
      <c r="K74" s="13"/>
      <c r="L74" s="13"/>
      <c r="M74" s="13"/>
      <c r="N74" s="13"/>
      <c r="O74" s="13"/>
    </row>
    <row r="75" spans="9:15">
      <c r="I75" s="13"/>
      <c r="J75" s="13"/>
      <c r="K75" s="13"/>
      <c r="L75" s="13"/>
      <c r="M75" s="13"/>
      <c r="N75" s="13"/>
      <c r="O75" s="13"/>
    </row>
    <row r="76" spans="9:15">
      <c r="I76" s="13"/>
      <c r="J76" s="13"/>
      <c r="K76" s="13"/>
      <c r="L76" s="13"/>
      <c r="M76" s="13"/>
      <c r="N76" s="13"/>
      <c r="O76" s="13"/>
    </row>
    <row r="77" spans="9:15">
      <c r="I77" s="13"/>
      <c r="J77" s="13"/>
      <c r="K77" s="13"/>
      <c r="L77" s="13"/>
      <c r="M77" s="13"/>
      <c r="N77" s="13"/>
      <c r="O77" s="13"/>
    </row>
    <row r="78" spans="9:15">
      <c r="I78" s="13"/>
      <c r="J78" s="13"/>
      <c r="K78" s="13"/>
      <c r="L78" s="13"/>
      <c r="M78" s="13"/>
      <c r="N78" s="13"/>
      <c r="O78" s="13"/>
    </row>
    <row r="79" spans="9:15">
      <c r="I79" s="13"/>
      <c r="J79" s="13"/>
      <c r="K79" s="13"/>
      <c r="L79" s="13"/>
      <c r="M79" s="13"/>
      <c r="N79" s="13"/>
      <c r="O79" s="13"/>
    </row>
    <row r="80" spans="9:15">
      <c r="I80" s="13"/>
      <c r="J80" s="13"/>
      <c r="K80" s="13"/>
      <c r="L80" s="13"/>
      <c r="M80" s="13"/>
      <c r="N80" s="13"/>
      <c r="O80" s="13"/>
    </row>
    <row r="81" spans="9:15">
      <c r="I81" s="13"/>
      <c r="J81" s="13"/>
      <c r="K81" s="13"/>
      <c r="L81" s="13"/>
      <c r="M81" s="13"/>
      <c r="N81" s="13"/>
      <c r="O81" s="13"/>
    </row>
    <row r="82" spans="9:15">
      <c r="I82" s="13"/>
      <c r="J82" s="13"/>
      <c r="K82" s="13"/>
      <c r="L82" s="13"/>
      <c r="M82" s="13"/>
      <c r="N82" s="13"/>
      <c r="O82" s="13"/>
    </row>
    <row r="83" spans="9:15">
      <c r="I83" s="13"/>
      <c r="J83" s="13"/>
      <c r="K83" s="13"/>
      <c r="L83" s="13"/>
      <c r="M83" s="13"/>
      <c r="N83" s="13"/>
      <c r="O83" s="13"/>
    </row>
    <row r="84" spans="9:15">
      <c r="I84" s="13"/>
      <c r="J84" s="13"/>
      <c r="K84" s="13"/>
      <c r="L84" s="13"/>
      <c r="M84" s="13"/>
      <c r="N84" s="13"/>
      <c r="O84" s="13"/>
    </row>
    <row r="85" spans="9:15">
      <c r="I85" s="13"/>
      <c r="J85" s="13"/>
      <c r="K85" s="13"/>
      <c r="L85" s="13"/>
      <c r="M85" s="13"/>
      <c r="N85" s="13"/>
      <c r="O85" s="13"/>
    </row>
    <row r="86" spans="9:15">
      <c r="I86" s="13"/>
      <c r="J86" s="13"/>
      <c r="K86" s="13"/>
      <c r="L86" s="13"/>
      <c r="M86" s="13"/>
      <c r="N86" s="13"/>
      <c r="O86" s="13"/>
    </row>
    <row r="87" spans="9:15">
      <c r="I87" s="13"/>
      <c r="J87" s="13"/>
      <c r="K87" s="13"/>
      <c r="L87" s="13"/>
      <c r="M87" s="13"/>
      <c r="N87" s="13"/>
      <c r="O87" s="13"/>
    </row>
    <row r="88" spans="9:15">
      <c r="I88" s="13"/>
      <c r="J88" s="13"/>
      <c r="K88" s="13"/>
      <c r="L88" s="13"/>
      <c r="M88" s="13"/>
      <c r="N88" s="13"/>
      <c r="O88" s="13"/>
    </row>
    <row r="89" spans="9:15">
      <c r="I89" s="13"/>
      <c r="J89" s="13"/>
      <c r="K89" s="13"/>
      <c r="L89" s="13"/>
      <c r="M89" s="13"/>
      <c r="N89" s="13"/>
      <c r="O89" s="13"/>
    </row>
    <row r="90" spans="9:15">
      <c r="I90" s="13"/>
      <c r="J90" s="13"/>
      <c r="K90" s="13"/>
      <c r="L90" s="13"/>
      <c r="M90" s="13"/>
      <c r="N90" s="13"/>
      <c r="O90" s="13"/>
    </row>
    <row r="91" spans="9:15">
      <c r="I91" s="13"/>
      <c r="J91" s="13"/>
      <c r="K91" s="13"/>
      <c r="L91" s="13"/>
      <c r="M91" s="13"/>
      <c r="N91" s="13"/>
      <c r="O91" s="13"/>
    </row>
    <row r="92" spans="9:15">
      <c r="I92" s="13"/>
      <c r="J92" s="13"/>
      <c r="K92" s="13"/>
      <c r="L92" s="13"/>
      <c r="M92" s="13"/>
      <c r="N92" s="13"/>
      <c r="O92" s="13"/>
    </row>
    <row r="93" spans="9:15">
      <c r="I93" s="13"/>
      <c r="J93" s="13"/>
      <c r="K93" s="13"/>
      <c r="L93" s="13"/>
      <c r="M93" s="13"/>
      <c r="N93" s="13"/>
      <c r="O93" s="13"/>
    </row>
    <row r="94" spans="9:15">
      <c r="I94" s="13"/>
      <c r="J94" s="13"/>
      <c r="K94" s="13"/>
      <c r="L94" s="13"/>
      <c r="M94" s="13"/>
      <c r="N94" s="13"/>
      <c r="O94" s="13"/>
    </row>
    <row r="95" spans="9:15">
      <c r="I95" s="13"/>
      <c r="J95" s="13"/>
      <c r="K95" s="13"/>
      <c r="L95" s="13"/>
      <c r="M95" s="13"/>
      <c r="N95" s="13"/>
      <c r="O95" s="13"/>
    </row>
    <row r="96" spans="9:15">
      <c r="I96" s="13"/>
      <c r="J96" s="13"/>
      <c r="K96" s="13"/>
      <c r="L96" s="13"/>
      <c r="M96" s="13"/>
      <c r="N96" s="13"/>
      <c r="O96" s="13"/>
    </row>
    <row r="97" spans="9:15">
      <c r="I97" s="13"/>
      <c r="J97" s="13"/>
      <c r="K97" s="13"/>
      <c r="L97" s="13"/>
      <c r="M97" s="13"/>
      <c r="N97" s="13"/>
      <c r="O97" s="13"/>
    </row>
    <row r="98" spans="9:15">
      <c r="I98" s="13"/>
      <c r="J98" s="13"/>
      <c r="K98" s="13"/>
      <c r="L98" s="13"/>
      <c r="M98" s="13"/>
      <c r="N98" s="13"/>
      <c r="O98" s="13"/>
    </row>
    <row r="99" spans="9:15">
      <c r="I99" s="13"/>
      <c r="J99" s="13"/>
      <c r="K99" s="13"/>
      <c r="L99" s="13"/>
      <c r="M99" s="13"/>
      <c r="N99" s="13"/>
      <c r="O99" s="13"/>
    </row>
  </sheetData>
  <mergeCells count="8">
    <mergeCell ref="L2:O2"/>
    <mergeCell ref="P2:V2"/>
    <mergeCell ref="A1:J1"/>
    <mergeCell ref="B2:B3"/>
    <mergeCell ref="C2:C3"/>
    <mergeCell ref="E2:F2"/>
    <mergeCell ref="G2:I2"/>
    <mergeCell ref="J2:K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Z112"/>
  <sheetViews>
    <sheetView showGridLines="0" tabSelected="1" zoomScaleNormal="100" workbookViewId="0">
      <pane ySplit="1" topLeftCell="A14" activePane="bottomLeft" state="frozen"/>
      <selection activeCell="AC1" sqref="AC1"/>
      <selection pane="bottomLeft" activeCell="E20" sqref="E20"/>
    </sheetView>
  </sheetViews>
  <sheetFormatPr baseColWidth="10" defaultRowHeight="14.25"/>
  <cols>
    <col min="1" max="1" width="6" customWidth="1"/>
    <col min="2" max="2" width="16.5" bestFit="1" customWidth="1"/>
    <col min="3" max="3" width="16.5" style="49" customWidth="1"/>
    <col min="4" max="9" width="16.5" customWidth="1"/>
    <col min="10" max="10" width="16.5" style="7" customWidth="1"/>
    <col min="12" max="12" width="18.5" customWidth="1"/>
    <col min="14" max="93" width="11.5" customWidth="1"/>
    <col min="110" max="111" width="11.5" customWidth="1"/>
  </cols>
  <sheetData>
    <row r="1" spans="1:128">
      <c r="A1" s="25"/>
      <c r="B1" s="25"/>
      <c r="C1" s="45"/>
      <c r="D1" s="25"/>
      <c r="E1" s="70"/>
      <c r="F1" s="70"/>
      <c r="G1" s="25"/>
      <c r="I1" s="25"/>
      <c r="J1" s="26"/>
      <c r="K1" s="25"/>
      <c r="L1" s="25"/>
      <c r="M1" s="25"/>
      <c r="N1" s="25"/>
      <c r="O1" s="25"/>
      <c r="P1" s="25"/>
      <c r="Q1" s="25"/>
      <c r="R1" s="25"/>
      <c r="S1" s="25"/>
      <c r="T1" s="80" t="s">
        <v>60</v>
      </c>
      <c r="U1" s="80"/>
      <c r="V1" s="80"/>
      <c r="W1" s="80"/>
      <c r="X1" s="80"/>
      <c r="Y1" s="80"/>
      <c r="Z1" s="80"/>
      <c r="AA1" s="80"/>
      <c r="AB1" s="80"/>
      <c r="AC1" s="80"/>
      <c r="AD1" s="80"/>
      <c r="AE1" s="80"/>
      <c r="AF1" s="80"/>
      <c r="AG1" s="80"/>
      <c r="AH1" s="80"/>
      <c r="AI1" s="80"/>
      <c r="AJ1" s="80"/>
      <c r="AK1" s="80"/>
      <c r="AL1" s="80" t="s">
        <v>61</v>
      </c>
      <c r="AM1" s="80"/>
      <c r="AN1" s="80"/>
      <c r="AO1" s="80"/>
      <c r="AP1" s="80"/>
      <c r="AQ1" s="80"/>
      <c r="AR1" s="80"/>
      <c r="AS1" s="80"/>
      <c r="AT1" s="80"/>
      <c r="AU1" s="80"/>
      <c r="AV1" s="80"/>
      <c r="AW1" s="80"/>
      <c r="AX1" s="80"/>
      <c r="AY1" s="80"/>
      <c r="AZ1" s="80"/>
      <c r="BA1" s="80"/>
      <c r="BB1" s="80"/>
      <c r="BC1" s="80"/>
      <c r="BD1" s="80" t="s">
        <v>62</v>
      </c>
      <c r="BE1" s="80"/>
      <c r="BF1" s="80"/>
      <c r="BG1" s="80"/>
      <c r="BH1" s="80"/>
      <c r="BI1" s="80"/>
      <c r="BJ1" s="80"/>
      <c r="BK1" s="80"/>
      <c r="BL1" s="80"/>
      <c r="BM1" s="80"/>
      <c r="BN1" s="80"/>
      <c r="BO1" s="80"/>
      <c r="BP1" s="80"/>
      <c r="BQ1" s="80"/>
      <c r="BR1" s="80"/>
      <c r="BS1" s="80"/>
      <c r="BT1" s="80"/>
      <c r="BU1" s="80"/>
      <c r="BV1" s="80" t="s">
        <v>63</v>
      </c>
      <c r="BW1" s="80"/>
      <c r="BX1" s="80"/>
      <c r="BY1" s="80"/>
      <c r="BZ1" s="80"/>
      <c r="CA1" s="80"/>
      <c r="CB1" s="80"/>
      <c r="CC1" s="80"/>
      <c r="CD1" s="80"/>
      <c r="CE1" s="80"/>
      <c r="CF1" s="80"/>
      <c r="CG1" s="80"/>
      <c r="CH1" s="80"/>
      <c r="CI1" s="80"/>
      <c r="CJ1" s="80"/>
      <c r="CK1" s="80"/>
      <c r="CL1" s="80"/>
      <c r="CM1" s="80"/>
      <c r="CN1" s="41" t="s">
        <v>64</v>
      </c>
      <c r="CO1" s="41"/>
      <c r="CP1" s="38"/>
      <c r="CQ1" s="41" t="s">
        <v>64</v>
      </c>
      <c r="CR1" s="39"/>
      <c r="CS1" s="40"/>
      <c r="CT1" s="35"/>
      <c r="CU1" s="36"/>
      <c r="CV1" s="36"/>
      <c r="CW1" s="36"/>
      <c r="CX1" s="36"/>
      <c r="CY1" s="36"/>
      <c r="CZ1" s="36"/>
      <c r="DA1" s="36"/>
      <c r="DB1" s="36"/>
      <c r="DC1" s="36"/>
      <c r="DD1" s="36"/>
      <c r="DE1" s="36"/>
      <c r="DF1" s="36" t="s">
        <v>65</v>
      </c>
      <c r="DG1" s="36"/>
      <c r="DH1" s="36"/>
      <c r="DI1" s="36"/>
      <c r="DJ1" s="36"/>
      <c r="DK1" s="36"/>
      <c r="DL1" s="36"/>
      <c r="DM1" s="36"/>
      <c r="DN1" s="36"/>
      <c r="DO1" s="36"/>
      <c r="DP1" s="36"/>
      <c r="DQ1" s="36"/>
      <c r="DR1" s="36"/>
      <c r="DS1" s="36"/>
      <c r="DT1" s="36"/>
      <c r="DU1" s="36"/>
      <c r="DV1" s="36"/>
      <c r="DW1" s="36"/>
    </row>
    <row r="2" spans="1:128" ht="14.65" customHeight="1">
      <c r="A2" s="22"/>
      <c r="B2" s="22"/>
      <c r="C2" s="46"/>
      <c r="D2" s="22"/>
      <c r="E2" s="22"/>
      <c r="F2" s="22"/>
      <c r="G2" s="22"/>
      <c r="H2" s="6"/>
      <c r="I2" s="22"/>
      <c r="J2" s="23"/>
      <c r="K2" s="22"/>
      <c r="L2" s="22"/>
      <c r="M2" s="22"/>
      <c r="N2" s="84"/>
      <c r="O2" s="84"/>
      <c r="P2" s="84"/>
      <c r="Q2" s="84"/>
      <c r="R2" s="84"/>
      <c r="S2" s="84"/>
      <c r="T2" s="82" t="s">
        <v>12</v>
      </c>
      <c r="U2" s="82"/>
      <c r="V2" s="82" t="s">
        <v>13</v>
      </c>
      <c r="W2" s="82"/>
      <c r="X2" s="82"/>
      <c r="Y2" s="82" t="s">
        <v>14</v>
      </c>
      <c r="Z2" s="82"/>
      <c r="AA2" s="82" t="s">
        <v>15</v>
      </c>
      <c r="AB2" s="82"/>
      <c r="AC2" s="82"/>
      <c r="AD2" s="82"/>
      <c r="AE2" s="82" t="s">
        <v>16</v>
      </c>
      <c r="AF2" s="82"/>
      <c r="AG2" s="82"/>
      <c r="AH2" s="82"/>
      <c r="AI2" s="82"/>
      <c r="AJ2" s="82"/>
      <c r="AK2" s="82"/>
      <c r="AL2" s="82" t="s">
        <v>12</v>
      </c>
      <c r="AM2" s="82"/>
      <c r="AN2" s="82" t="s">
        <v>13</v>
      </c>
      <c r="AO2" s="82"/>
      <c r="AP2" s="82"/>
      <c r="AQ2" s="82" t="s">
        <v>14</v>
      </c>
      <c r="AR2" s="82"/>
      <c r="AS2" s="82" t="s">
        <v>15</v>
      </c>
      <c r="AT2" s="82"/>
      <c r="AU2" s="82"/>
      <c r="AV2" s="82"/>
      <c r="AW2" s="82" t="s">
        <v>16</v>
      </c>
      <c r="AX2" s="82"/>
      <c r="AY2" s="82"/>
      <c r="AZ2" s="82"/>
      <c r="BA2" s="82"/>
      <c r="BB2" s="82"/>
      <c r="BC2" s="82"/>
      <c r="BD2" s="82" t="s">
        <v>12</v>
      </c>
      <c r="BE2" s="82"/>
      <c r="BF2" s="82" t="s">
        <v>13</v>
      </c>
      <c r="BG2" s="82"/>
      <c r="BH2" s="82"/>
      <c r="BI2" s="82" t="s">
        <v>14</v>
      </c>
      <c r="BJ2" s="82"/>
      <c r="BK2" s="82" t="s">
        <v>15</v>
      </c>
      <c r="BL2" s="82"/>
      <c r="BM2" s="82"/>
      <c r="BN2" s="82"/>
      <c r="BO2" s="82" t="s">
        <v>16</v>
      </c>
      <c r="BP2" s="82"/>
      <c r="BQ2" s="82"/>
      <c r="BR2" s="82"/>
      <c r="BS2" s="82"/>
      <c r="BT2" s="82"/>
      <c r="BU2" s="82"/>
      <c r="BV2" s="82" t="s">
        <v>12</v>
      </c>
      <c r="BW2" s="82"/>
      <c r="BX2" s="82" t="s">
        <v>13</v>
      </c>
      <c r="BY2" s="82"/>
      <c r="BZ2" s="82"/>
      <c r="CA2" s="82" t="s">
        <v>14</v>
      </c>
      <c r="CB2" s="82"/>
      <c r="CC2" s="82" t="s">
        <v>15</v>
      </c>
      <c r="CD2" s="82"/>
      <c r="CE2" s="82"/>
      <c r="CF2" s="82"/>
      <c r="CG2" s="82" t="s">
        <v>16</v>
      </c>
      <c r="CH2" s="82"/>
      <c r="CI2" s="82"/>
      <c r="CJ2" s="82"/>
      <c r="CK2" s="82"/>
      <c r="CL2" s="82"/>
      <c r="CM2" s="83"/>
      <c r="CN2" s="81" t="s">
        <v>12</v>
      </c>
      <c r="CO2" s="81"/>
      <c r="CP2" s="81" t="s">
        <v>13</v>
      </c>
      <c r="CQ2" s="81"/>
      <c r="CR2" s="81"/>
      <c r="CS2" s="81" t="s">
        <v>14</v>
      </c>
      <c r="CT2" s="42"/>
      <c r="CU2" s="36" t="s">
        <v>15</v>
      </c>
      <c r="CV2" s="36"/>
      <c r="CW2" s="36"/>
      <c r="CX2" s="36"/>
      <c r="CY2" s="36" t="s">
        <v>16</v>
      </c>
      <c r="CZ2" s="36"/>
      <c r="DA2" s="36"/>
      <c r="DB2" s="36"/>
      <c r="DC2" s="36"/>
      <c r="DD2" s="36"/>
      <c r="DE2" s="36"/>
      <c r="DF2" s="36" t="s">
        <v>12</v>
      </c>
      <c r="DG2" s="36"/>
      <c r="DH2" s="36" t="s">
        <v>13</v>
      </c>
      <c r="DI2" s="36"/>
      <c r="DJ2" s="36"/>
      <c r="DK2" s="36" t="s">
        <v>14</v>
      </c>
      <c r="DL2" s="36"/>
      <c r="DM2" s="36" t="s">
        <v>15</v>
      </c>
      <c r="DN2" s="36"/>
      <c r="DO2" s="36"/>
      <c r="DP2" s="36"/>
      <c r="DQ2" s="36" t="s">
        <v>16</v>
      </c>
      <c r="DR2" s="36"/>
      <c r="DS2" s="36"/>
      <c r="DT2" s="36"/>
      <c r="DU2" s="36"/>
      <c r="DV2" s="36"/>
      <c r="DW2" s="36"/>
    </row>
    <row r="3" spans="1:128" ht="25.15" customHeight="1">
      <c r="A3" s="17" t="s">
        <v>0</v>
      </c>
      <c r="B3" s="17" t="s">
        <v>1</v>
      </c>
      <c r="C3" s="47" t="s">
        <v>39</v>
      </c>
      <c r="D3" s="17" t="s">
        <v>38</v>
      </c>
      <c r="E3" s="17" t="s">
        <v>260</v>
      </c>
      <c r="F3" s="17" t="s">
        <v>258</v>
      </c>
      <c r="G3" s="17" t="s">
        <v>40</v>
      </c>
      <c r="H3" s="31" t="s">
        <v>100</v>
      </c>
      <c r="I3" s="17" t="s">
        <v>99</v>
      </c>
      <c r="J3" s="18" t="s">
        <v>41</v>
      </c>
      <c r="K3" s="17" t="s">
        <v>2</v>
      </c>
      <c r="L3" s="17" t="s">
        <v>3</v>
      </c>
      <c r="M3" s="17" t="s">
        <v>37</v>
      </c>
      <c r="N3" s="17" t="s">
        <v>5</v>
      </c>
      <c r="O3" s="17" t="s">
        <v>6</v>
      </c>
      <c r="P3" s="17" t="s">
        <v>7</v>
      </c>
      <c r="Q3" s="17" t="s">
        <v>8</v>
      </c>
      <c r="R3" s="17" t="s">
        <v>59</v>
      </c>
      <c r="S3" s="17" t="s">
        <v>9</v>
      </c>
      <c r="T3" s="19" t="s">
        <v>18</v>
      </c>
      <c r="U3" s="20" t="s">
        <v>19</v>
      </c>
      <c r="V3" s="20" t="s">
        <v>20</v>
      </c>
      <c r="W3" s="20" t="s">
        <v>21</v>
      </c>
      <c r="X3" s="21" t="s">
        <v>22</v>
      </c>
      <c r="Y3" s="20" t="s">
        <v>23</v>
      </c>
      <c r="Z3" s="20" t="s">
        <v>24</v>
      </c>
      <c r="AA3" s="20" t="s">
        <v>25</v>
      </c>
      <c r="AB3" s="20" t="s">
        <v>26</v>
      </c>
      <c r="AC3" s="20" t="s">
        <v>27</v>
      </c>
      <c r="AD3" s="20" t="s">
        <v>28</v>
      </c>
      <c r="AE3" s="20" t="s">
        <v>29</v>
      </c>
      <c r="AF3" s="20" t="s">
        <v>30</v>
      </c>
      <c r="AG3" s="20" t="s">
        <v>31</v>
      </c>
      <c r="AH3" s="20" t="s">
        <v>32</v>
      </c>
      <c r="AI3" s="20" t="s">
        <v>33</v>
      </c>
      <c r="AJ3" s="20" t="s">
        <v>34</v>
      </c>
      <c r="AK3" s="20" t="s">
        <v>35</v>
      </c>
      <c r="AL3" s="20" t="s">
        <v>18</v>
      </c>
      <c r="AM3" s="20" t="s">
        <v>19</v>
      </c>
      <c r="AN3" s="20" t="s">
        <v>20</v>
      </c>
      <c r="AO3" s="20" t="s">
        <v>21</v>
      </c>
      <c r="AP3" s="21" t="s">
        <v>22</v>
      </c>
      <c r="AQ3" s="20" t="s">
        <v>23</v>
      </c>
      <c r="AR3" s="20" t="s">
        <v>24</v>
      </c>
      <c r="AS3" s="20" t="s">
        <v>25</v>
      </c>
      <c r="AT3" s="20" t="s">
        <v>26</v>
      </c>
      <c r="AU3" s="20" t="s">
        <v>27</v>
      </c>
      <c r="AV3" s="20" t="s">
        <v>28</v>
      </c>
      <c r="AW3" s="20" t="s">
        <v>29</v>
      </c>
      <c r="AX3" s="20" t="s">
        <v>30</v>
      </c>
      <c r="AY3" s="20" t="s">
        <v>31</v>
      </c>
      <c r="AZ3" s="20" t="s">
        <v>32</v>
      </c>
      <c r="BA3" s="20" t="s">
        <v>33</v>
      </c>
      <c r="BB3" s="20" t="s">
        <v>34</v>
      </c>
      <c r="BC3" s="20" t="s">
        <v>35</v>
      </c>
      <c r="BD3" s="20" t="s">
        <v>18</v>
      </c>
      <c r="BE3" s="20" t="s">
        <v>19</v>
      </c>
      <c r="BF3" s="20" t="s">
        <v>20</v>
      </c>
      <c r="BG3" s="20" t="s">
        <v>21</v>
      </c>
      <c r="BH3" s="21" t="s">
        <v>22</v>
      </c>
      <c r="BI3" s="20" t="s">
        <v>23</v>
      </c>
      <c r="BJ3" s="20" t="s">
        <v>24</v>
      </c>
      <c r="BK3" s="20" t="s">
        <v>25</v>
      </c>
      <c r="BL3" s="20" t="s">
        <v>26</v>
      </c>
      <c r="BM3" s="20" t="s">
        <v>27</v>
      </c>
      <c r="BN3" s="20" t="s">
        <v>28</v>
      </c>
      <c r="BO3" s="20" t="s">
        <v>29</v>
      </c>
      <c r="BP3" s="20" t="s">
        <v>30</v>
      </c>
      <c r="BQ3" s="20" t="s">
        <v>31</v>
      </c>
      <c r="BR3" s="20" t="s">
        <v>32</v>
      </c>
      <c r="BS3" s="20" t="s">
        <v>33</v>
      </c>
      <c r="BT3" s="20" t="s">
        <v>34</v>
      </c>
      <c r="BU3" s="20" t="s">
        <v>35</v>
      </c>
      <c r="BV3" s="20" t="s">
        <v>18</v>
      </c>
      <c r="BW3" s="20" t="s">
        <v>19</v>
      </c>
      <c r="BX3" s="20" t="s">
        <v>20</v>
      </c>
      <c r="BY3" s="20" t="s">
        <v>21</v>
      </c>
      <c r="BZ3" s="21" t="s">
        <v>22</v>
      </c>
      <c r="CA3" s="20" t="s">
        <v>23</v>
      </c>
      <c r="CB3" s="20" t="s">
        <v>24</v>
      </c>
      <c r="CC3" s="20" t="s">
        <v>25</v>
      </c>
      <c r="CD3" s="20" t="s">
        <v>26</v>
      </c>
      <c r="CE3" s="20" t="s">
        <v>27</v>
      </c>
      <c r="CF3" s="20" t="s">
        <v>28</v>
      </c>
      <c r="CG3" s="20" t="s">
        <v>29</v>
      </c>
      <c r="CH3" s="20" t="s">
        <v>30</v>
      </c>
      <c r="CI3" s="20" t="s">
        <v>31</v>
      </c>
      <c r="CJ3" s="20" t="s">
        <v>32</v>
      </c>
      <c r="CK3" s="20" t="s">
        <v>33</v>
      </c>
      <c r="CL3" s="20" t="s">
        <v>34</v>
      </c>
      <c r="CM3" s="20" t="s">
        <v>35</v>
      </c>
      <c r="CN3" s="24" t="s">
        <v>18</v>
      </c>
      <c r="CO3" s="24" t="s">
        <v>19</v>
      </c>
      <c r="CP3" s="24" t="s">
        <v>20</v>
      </c>
      <c r="CQ3" s="24" t="s">
        <v>21</v>
      </c>
      <c r="CR3" s="24" t="s">
        <v>22</v>
      </c>
      <c r="CS3" s="24" t="s">
        <v>149</v>
      </c>
      <c r="CT3" s="34" t="s">
        <v>150</v>
      </c>
      <c r="CU3" s="37" t="s">
        <v>25</v>
      </c>
      <c r="CV3" s="37" t="s">
        <v>26</v>
      </c>
      <c r="CW3" s="37" t="s">
        <v>27</v>
      </c>
      <c r="CX3" s="37" t="s">
        <v>28</v>
      </c>
      <c r="CY3" s="37" t="s">
        <v>29</v>
      </c>
      <c r="CZ3" s="37" t="s">
        <v>30</v>
      </c>
      <c r="DA3" s="37" t="s">
        <v>31</v>
      </c>
      <c r="DB3" s="37" t="s">
        <v>32</v>
      </c>
      <c r="DC3" s="37" t="s">
        <v>33</v>
      </c>
      <c r="DD3" s="37" t="s">
        <v>34</v>
      </c>
      <c r="DE3" s="37" t="s">
        <v>35</v>
      </c>
      <c r="DF3" s="37" t="s">
        <v>18</v>
      </c>
      <c r="DG3" s="37" t="s">
        <v>19</v>
      </c>
      <c r="DH3" s="37" t="s">
        <v>20</v>
      </c>
      <c r="DI3" s="37" t="s">
        <v>21</v>
      </c>
      <c r="DJ3" s="37" t="s">
        <v>22</v>
      </c>
      <c r="DK3" s="37" t="s">
        <v>149</v>
      </c>
      <c r="DL3" s="37" t="s">
        <v>150</v>
      </c>
      <c r="DM3" s="37" t="s">
        <v>25</v>
      </c>
      <c r="DN3" s="37" t="s">
        <v>26</v>
      </c>
      <c r="DO3" s="37" t="s">
        <v>27</v>
      </c>
      <c r="DP3" s="37" t="s">
        <v>28</v>
      </c>
      <c r="DQ3" s="37" t="s">
        <v>29</v>
      </c>
      <c r="DR3" s="37" t="s">
        <v>30</v>
      </c>
      <c r="DS3" s="37" t="s">
        <v>31</v>
      </c>
      <c r="DT3" s="37" t="s">
        <v>32</v>
      </c>
      <c r="DU3" s="37" t="s">
        <v>33</v>
      </c>
      <c r="DV3" s="37" t="s">
        <v>34</v>
      </c>
      <c r="DW3" s="37" t="s">
        <v>35</v>
      </c>
      <c r="DX3" t="s">
        <v>36</v>
      </c>
    </row>
    <row r="4" spans="1:128" s="28" customFormat="1">
      <c r="A4" s="25">
        <v>1</v>
      </c>
      <c r="B4" s="25" t="s">
        <v>66</v>
      </c>
      <c r="C4" s="45"/>
      <c r="D4" s="25" t="s">
        <v>67</v>
      </c>
      <c r="E4" s="70" t="s">
        <v>261</v>
      </c>
      <c r="F4" s="70" t="s">
        <v>259</v>
      </c>
      <c r="G4" s="25">
        <v>20</v>
      </c>
      <c r="H4" s="25" t="s">
        <v>68</v>
      </c>
      <c r="I4" s="25" t="s">
        <v>56</v>
      </c>
      <c r="J4" s="26">
        <v>15000000</v>
      </c>
      <c r="K4" s="25" t="s">
        <v>101</v>
      </c>
      <c r="L4" s="25" t="s">
        <v>69</v>
      </c>
      <c r="M4" s="25">
        <v>10</v>
      </c>
      <c r="N4" s="28" t="s">
        <v>43</v>
      </c>
      <c r="O4" s="28" t="s">
        <v>56</v>
      </c>
      <c r="P4" s="28" t="s">
        <v>56</v>
      </c>
      <c r="Q4" s="28" t="s">
        <v>56</v>
      </c>
      <c r="R4" s="28" t="s">
        <v>56</v>
      </c>
      <c r="S4" s="28" t="s">
        <v>56</v>
      </c>
      <c r="T4" s="28" t="s">
        <v>56</v>
      </c>
      <c r="U4" s="28" t="s">
        <v>56</v>
      </c>
      <c r="V4" s="28" t="s">
        <v>43</v>
      </c>
      <c r="W4" s="28" t="s">
        <v>43</v>
      </c>
      <c r="X4" s="28" t="s">
        <v>43</v>
      </c>
      <c r="Y4" s="28" t="s">
        <v>43</v>
      </c>
      <c r="Z4" s="28" t="s">
        <v>43</v>
      </c>
      <c r="AA4" s="28" t="s">
        <v>43</v>
      </c>
      <c r="AB4" s="28" t="s">
        <v>43</v>
      </c>
      <c r="AC4" s="28" t="s">
        <v>43</v>
      </c>
      <c r="AD4" s="28" t="s">
        <v>43</v>
      </c>
      <c r="AE4" s="28" t="s">
        <v>43</v>
      </c>
      <c r="AF4" s="28" t="s">
        <v>43</v>
      </c>
      <c r="AG4" s="28" t="s">
        <v>43</v>
      </c>
      <c r="AH4" s="28" t="s">
        <v>43</v>
      </c>
      <c r="AI4" s="28" t="s">
        <v>43</v>
      </c>
      <c r="AJ4" s="28" t="s">
        <v>43</v>
      </c>
      <c r="AK4" s="12" t="s">
        <v>43</v>
      </c>
      <c r="AL4" s="12" t="s">
        <v>43</v>
      </c>
      <c r="AM4" s="12" t="s">
        <v>43</v>
      </c>
      <c r="AN4" s="12" t="s">
        <v>43</v>
      </c>
      <c r="AO4" s="12" t="s">
        <v>56</v>
      </c>
      <c r="AP4" s="12" t="s">
        <v>56</v>
      </c>
      <c r="AQ4" s="12" t="s">
        <v>43</v>
      </c>
      <c r="AR4" s="12" t="s">
        <v>43</v>
      </c>
      <c r="AS4" s="12" t="s">
        <v>70</v>
      </c>
      <c r="AT4" s="12" t="s">
        <v>70</v>
      </c>
      <c r="AU4" s="12" t="s">
        <v>70</v>
      </c>
      <c r="AV4" s="12" t="s">
        <v>70</v>
      </c>
      <c r="AW4" s="12" t="s">
        <v>43</v>
      </c>
      <c r="AX4" s="12"/>
      <c r="AY4" s="12" t="s">
        <v>43</v>
      </c>
      <c r="AZ4" s="12" t="s">
        <v>43</v>
      </c>
      <c r="BA4" s="12" t="s">
        <v>43</v>
      </c>
      <c r="BB4" s="12" t="s">
        <v>43</v>
      </c>
      <c r="BC4" s="12" t="s">
        <v>43</v>
      </c>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row>
    <row r="5" spans="1:128" s="28" customFormat="1">
      <c r="A5" s="25">
        <v>2</v>
      </c>
      <c r="B5" s="25" t="s">
        <v>71</v>
      </c>
      <c r="C5" s="45"/>
      <c r="D5" s="25" t="s">
        <v>72</v>
      </c>
      <c r="E5" s="70" t="s">
        <v>263</v>
      </c>
      <c r="F5" s="70" t="s">
        <v>262</v>
      </c>
      <c r="G5" s="25">
        <v>1</v>
      </c>
      <c r="H5" s="25" t="s">
        <v>73</v>
      </c>
      <c r="I5" s="25" t="s">
        <v>56</v>
      </c>
      <c r="J5" s="26">
        <v>1200000</v>
      </c>
      <c r="K5" s="25" t="s">
        <v>74</v>
      </c>
      <c r="L5" s="25" t="s">
        <v>74</v>
      </c>
      <c r="M5" s="25">
        <v>2</v>
      </c>
      <c r="N5" s="28" t="s">
        <v>43</v>
      </c>
      <c r="O5" s="25" t="s">
        <v>56</v>
      </c>
      <c r="P5" s="25" t="s">
        <v>56</v>
      </c>
      <c r="Q5" s="25" t="s">
        <v>56</v>
      </c>
      <c r="R5" s="25" t="s">
        <v>56</v>
      </c>
      <c r="S5" s="25" t="s">
        <v>56</v>
      </c>
      <c r="T5" s="25" t="s">
        <v>56</v>
      </c>
      <c r="U5" s="25" t="s">
        <v>56</v>
      </c>
      <c r="V5" s="25" t="s">
        <v>56</v>
      </c>
      <c r="W5" s="25" t="s">
        <v>56</v>
      </c>
      <c r="X5" s="25" t="s">
        <v>56</v>
      </c>
      <c r="Y5" s="25" t="s">
        <v>56</v>
      </c>
      <c r="Z5" s="25" t="s">
        <v>56</v>
      </c>
      <c r="AA5" s="25" t="s">
        <v>56</v>
      </c>
      <c r="AB5" s="25" t="s">
        <v>56</v>
      </c>
      <c r="AC5" s="25" t="s">
        <v>56</v>
      </c>
      <c r="AD5" s="25" t="s">
        <v>56</v>
      </c>
      <c r="AE5" s="25" t="s">
        <v>56</v>
      </c>
      <c r="AF5" s="25" t="s">
        <v>56</v>
      </c>
      <c r="AG5" s="25" t="s">
        <v>56</v>
      </c>
      <c r="AH5" s="25" t="s">
        <v>56</v>
      </c>
      <c r="AI5" s="25" t="s">
        <v>56</v>
      </c>
      <c r="AJ5" s="25" t="s">
        <v>56</v>
      </c>
      <c r="AK5" s="25" t="s">
        <v>56</v>
      </c>
      <c r="AL5" s="12" t="s">
        <v>43</v>
      </c>
      <c r="AM5" s="12" t="s">
        <v>43</v>
      </c>
      <c r="AN5" s="12" t="s">
        <v>56</v>
      </c>
      <c r="AO5" s="12" t="s">
        <v>43</v>
      </c>
      <c r="AP5" s="12" t="s">
        <v>56</v>
      </c>
      <c r="AQ5" s="12" t="s">
        <v>43</v>
      </c>
      <c r="AR5" s="12" t="s">
        <v>43</v>
      </c>
      <c r="AS5" s="12" t="s">
        <v>56</v>
      </c>
      <c r="AT5" s="12" t="s">
        <v>56</v>
      </c>
      <c r="AU5" s="12" t="s">
        <v>56</v>
      </c>
      <c r="AV5" s="12" t="s">
        <v>56</v>
      </c>
      <c r="AW5" s="12" t="s">
        <v>56</v>
      </c>
      <c r="AX5" s="12" t="s">
        <v>56</v>
      </c>
      <c r="AY5" s="12" t="s">
        <v>56</v>
      </c>
      <c r="AZ5" s="12" t="s">
        <v>56</v>
      </c>
      <c r="BA5" s="12" t="s">
        <v>56</v>
      </c>
      <c r="BB5" s="12" t="s">
        <v>43</v>
      </c>
      <c r="BC5" s="12" t="s">
        <v>56</v>
      </c>
      <c r="BD5" s="12" t="s">
        <v>56</v>
      </c>
      <c r="BE5" s="12" t="s">
        <v>56</v>
      </c>
      <c r="BF5" s="12" t="s">
        <v>56</v>
      </c>
      <c r="BG5" s="12" t="s">
        <v>56</v>
      </c>
      <c r="BH5" s="12" t="s">
        <v>56</v>
      </c>
      <c r="BI5" s="12" t="s">
        <v>56</v>
      </c>
      <c r="BJ5" s="12" t="s">
        <v>56</v>
      </c>
      <c r="BK5" s="12" t="s">
        <v>56</v>
      </c>
      <c r="BL5" s="12" t="s">
        <v>56</v>
      </c>
      <c r="BM5" s="12" t="s">
        <v>56</v>
      </c>
      <c r="BN5" s="12" t="s">
        <v>56</v>
      </c>
      <c r="BO5" s="12" t="s">
        <v>56</v>
      </c>
      <c r="BP5" s="12" t="s">
        <v>56</v>
      </c>
      <c r="BQ5" s="12" t="s">
        <v>56</v>
      </c>
      <c r="BR5" s="12" t="s">
        <v>56</v>
      </c>
      <c r="BS5" s="12" t="s">
        <v>56</v>
      </c>
      <c r="BT5" s="12" t="s">
        <v>56</v>
      </c>
      <c r="BU5" s="12" t="s">
        <v>56</v>
      </c>
      <c r="BV5" s="12" t="s">
        <v>56</v>
      </c>
      <c r="BW5" s="12" t="s">
        <v>56</v>
      </c>
      <c r="BX5" s="12" t="s">
        <v>56</v>
      </c>
      <c r="BY5" s="12" t="s">
        <v>56</v>
      </c>
      <c r="BZ5" s="12" t="s">
        <v>56</v>
      </c>
      <c r="CA5" s="12" t="s">
        <v>56</v>
      </c>
      <c r="CB5" s="12" t="s">
        <v>56</v>
      </c>
      <c r="CC5" s="12" t="s">
        <v>56</v>
      </c>
      <c r="CD5" s="12" t="s">
        <v>56</v>
      </c>
      <c r="CE5" s="12" t="s">
        <v>56</v>
      </c>
      <c r="CF5" s="12" t="s">
        <v>56</v>
      </c>
      <c r="CG5" s="12" t="s">
        <v>56</v>
      </c>
      <c r="CH5" s="12" t="s">
        <v>56</v>
      </c>
      <c r="CI5" s="12" t="s">
        <v>56</v>
      </c>
      <c r="CJ5" s="12" t="s">
        <v>56</v>
      </c>
      <c r="CK5" s="12" t="s">
        <v>56</v>
      </c>
      <c r="CL5" s="12" t="s">
        <v>56</v>
      </c>
      <c r="CM5" s="12" t="s">
        <v>56</v>
      </c>
      <c r="CN5" s="12" t="s">
        <v>56</v>
      </c>
      <c r="CO5" s="12" t="s">
        <v>56</v>
      </c>
      <c r="CP5" s="12" t="s">
        <v>56</v>
      </c>
      <c r="CQ5" s="12" t="s">
        <v>56</v>
      </c>
      <c r="CR5" s="12" t="s">
        <v>56</v>
      </c>
      <c r="CS5" s="12" t="s">
        <v>56</v>
      </c>
      <c r="CT5" s="12" t="s">
        <v>56</v>
      </c>
      <c r="CU5" s="28" t="s">
        <v>56</v>
      </c>
      <c r="CV5" s="28" t="s">
        <v>56</v>
      </c>
      <c r="CW5" s="28" t="s">
        <v>56</v>
      </c>
      <c r="CX5" s="28" t="s">
        <v>56</v>
      </c>
      <c r="CY5" s="28" t="s">
        <v>56</v>
      </c>
      <c r="CZ5" s="28" t="s">
        <v>56</v>
      </c>
      <c r="DA5" s="28" t="s">
        <v>56</v>
      </c>
      <c r="DB5" s="28" t="s">
        <v>56</v>
      </c>
      <c r="DC5" s="28" t="s">
        <v>56</v>
      </c>
      <c r="DD5" s="28" t="s">
        <v>56</v>
      </c>
      <c r="DE5" s="28" t="s">
        <v>56</v>
      </c>
      <c r="DF5" s="28" t="s">
        <v>56</v>
      </c>
      <c r="DG5" s="28" t="s">
        <v>56</v>
      </c>
      <c r="DH5" s="28" t="s">
        <v>56</v>
      </c>
      <c r="DI5" s="28" t="s">
        <v>56</v>
      </c>
      <c r="DJ5" s="28" t="s">
        <v>56</v>
      </c>
      <c r="DK5" s="28" t="s">
        <v>56</v>
      </c>
      <c r="DL5" s="28" t="s">
        <v>56</v>
      </c>
      <c r="DM5" s="28" t="s">
        <v>56</v>
      </c>
      <c r="DN5" s="28" t="s">
        <v>56</v>
      </c>
      <c r="DO5" s="28" t="s">
        <v>56</v>
      </c>
      <c r="DP5" s="28" t="s">
        <v>56</v>
      </c>
      <c r="DQ5" s="28" t="s">
        <v>56</v>
      </c>
      <c r="DR5" s="28" t="s">
        <v>56</v>
      </c>
      <c r="DS5" s="28" t="s">
        <v>56</v>
      </c>
      <c r="DT5" s="28" t="s">
        <v>56</v>
      </c>
      <c r="DU5" s="28" t="s">
        <v>56</v>
      </c>
      <c r="DV5" s="28" t="s">
        <v>56</v>
      </c>
      <c r="DW5" s="28" t="s">
        <v>56</v>
      </c>
    </row>
    <row r="6" spans="1:128" s="25" customFormat="1" ht="22.9" customHeight="1">
      <c r="A6" s="25">
        <v>3</v>
      </c>
      <c r="B6" s="25" t="s">
        <v>75</v>
      </c>
      <c r="C6" s="45">
        <v>675020727</v>
      </c>
      <c r="D6" s="25" t="s">
        <v>76</v>
      </c>
      <c r="E6" s="86" t="s">
        <v>267</v>
      </c>
      <c r="F6" s="86" t="s">
        <v>266</v>
      </c>
      <c r="G6" s="25">
        <v>7</v>
      </c>
      <c r="H6" s="25" t="s">
        <v>77</v>
      </c>
      <c r="I6" s="25" t="s">
        <v>56</v>
      </c>
      <c r="J6" s="26">
        <v>3700000</v>
      </c>
      <c r="K6" s="25" t="s">
        <v>101</v>
      </c>
      <c r="L6" s="25" t="s">
        <v>69</v>
      </c>
      <c r="M6" s="25">
        <v>2</v>
      </c>
      <c r="N6" s="25" t="s">
        <v>43</v>
      </c>
      <c r="O6" s="25" t="s">
        <v>56</v>
      </c>
      <c r="P6" s="25" t="s">
        <v>56</v>
      </c>
      <c r="Q6" s="25" t="s">
        <v>56</v>
      </c>
      <c r="R6" s="25" t="s">
        <v>56</v>
      </c>
      <c r="S6" s="25" t="s">
        <v>56</v>
      </c>
      <c r="T6" s="25" t="s">
        <v>56</v>
      </c>
      <c r="U6" s="25" t="s">
        <v>56</v>
      </c>
      <c r="V6" s="25" t="s">
        <v>56</v>
      </c>
      <c r="W6" s="25" t="s">
        <v>56</v>
      </c>
      <c r="X6" s="25" t="s">
        <v>56</v>
      </c>
      <c r="Y6" s="25" t="s">
        <v>56</v>
      </c>
      <c r="Z6" s="25" t="s">
        <v>56</v>
      </c>
      <c r="AA6" s="25" t="s">
        <v>56</v>
      </c>
      <c r="AB6" s="25" t="s">
        <v>56</v>
      </c>
      <c r="AC6" s="25" t="s">
        <v>56</v>
      </c>
      <c r="AD6" s="25" t="s">
        <v>56</v>
      </c>
      <c r="AE6" s="25" t="s">
        <v>56</v>
      </c>
      <c r="AF6" s="25" t="s">
        <v>56</v>
      </c>
      <c r="AG6" s="25" t="s">
        <v>56</v>
      </c>
      <c r="AH6" s="25" t="s">
        <v>56</v>
      </c>
      <c r="AI6" s="25" t="s">
        <v>56</v>
      </c>
      <c r="AJ6" s="25" t="s">
        <v>56</v>
      </c>
      <c r="AK6" s="12" t="s">
        <v>56</v>
      </c>
      <c r="AL6" s="12" t="s">
        <v>43</v>
      </c>
      <c r="AM6" s="12" t="s">
        <v>43</v>
      </c>
      <c r="AN6" s="12" t="s">
        <v>56</v>
      </c>
      <c r="AO6" s="12" t="s">
        <v>56</v>
      </c>
      <c r="AP6" s="12" t="s">
        <v>56</v>
      </c>
      <c r="AQ6" s="12" t="s">
        <v>43</v>
      </c>
      <c r="AR6" s="12" t="s">
        <v>43</v>
      </c>
      <c r="AS6" s="12" t="s">
        <v>43</v>
      </c>
      <c r="AT6" s="12" t="s">
        <v>43</v>
      </c>
      <c r="AU6" s="12" t="s">
        <v>43</v>
      </c>
      <c r="AV6" s="12" t="s">
        <v>43</v>
      </c>
      <c r="AW6" s="12" t="s">
        <v>43</v>
      </c>
      <c r="AX6" s="12" t="s">
        <v>43</v>
      </c>
      <c r="AY6" s="12" t="s">
        <v>43</v>
      </c>
      <c r="AZ6" s="12" t="s">
        <v>43</v>
      </c>
      <c r="BA6" s="12" t="s">
        <v>43</v>
      </c>
      <c r="BB6" s="12" t="s">
        <v>43</v>
      </c>
      <c r="BC6" s="12" t="s">
        <v>43</v>
      </c>
      <c r="BD6" s="12" t="s">
        <v>56</v>
      </c>
      <c r="BE6" s="12" t="s">
        <v>56</v>
      </c>
      <c r="BF6" s="12" t="s">
        <v>56</v>
      </c>
      <c r="BG6" s="12" t="s">
        <v>56</v>
      </c>
      <c r="BH6" s="12" t="s">
        <v>56</v>
      </c>
      <c r="BI6" s="12" t="s">
        <v>56</v>
      </c>
      <c r="BJ6" s="12" t="s">
        <v>56</v>
      </c>
      <c r="BK6" s="12" t="s">
        <v>56</v>
      </c>
      <c r="BL6" s="12" t="s">
        <v>56</v>
      </c>
      <c r="BM6" s="12" t="s">
        <v>56</v>
      </c>
      <c r="BN6" s="12" t="s">
        <v>56</v>
      </c>
      <c r="BO6" s="12" t="s">
        <v>56</v>
      </c>
      <c r="BP6" s="12" t="s">
        <v>56</v>
      </c>
      <c r="BQ6" s="12" t="s">
        <v>56</v>
      </c>
      <c r="BR6" s="12" t="s">
        <v>56</v>
      </c>
      <c r="BS6" s="12" t="s">
        <v>56</v>
      </c>
      <c r="BT6" s="12" t="s">
        <v>56</v>
      </c>
      <c r="BU6" s="12" t="s">
        <v>56</v>
      </c>
      <c r="BV6" s="12" t="s">
        <v>78</v>
      </c>
      <c r="BW6" s="12" t="s">
        <v>78</v>
      </c>
      <c r="BX6" s="12" t="s">
        <v>78</v>
      </c>
      <c r="BY6" s="12" t="s">
        <v>78</v>
      </c>
      <c r="BZ6" s="12" t="s">
        <v>79</v>
      </c>
      <c r="CA6" s="12" t="s">
        <v>43</v>
      </c>
      <c r="CB6" s="12" t="s">
        <v>43</v>
      </c>
      <c r="CC6" s="12" t="s">
        <v>43</v>
      </c>
      <c r="CD6" s="12" t="s">
        <v>43</v>
      </c>
      <c r="CE6" s="12" t="s">
        <v>43</v>
      </c>
      <c r="CF6" s="12" t="s">
        <v>43</v>
      </c>
      <c r="CG6" s="12" t="s">
        <v>43</v>
      </c>
      <c r="CH6" s="12" t="s">
        <v>43</v>
      </c>
      <c r="CI6" s="12" t="s">
        <v>43</v>
      </c>
      <c r="CJ6" s="12" t="s">
        <v>43</v>
      </c>
      <c r="CK6" s="12" t="s">
        <v>43</v>
      </c>
      <c r="CL6" s="12" t="s">
        <v>43</v>
      </c>
      <c r="CM6" s="12" t="s">
        <v>43</v>
      </c>
      <c r="CN6" s="12" t="s">
        <v>56</v>
      </c>
      <c r="CO6" s="12" t="s">
        <v>56</v>
      </c>
      <c r="CP6" s="12" t="s">
        <v>56</v>
      </c>
      <c r="CQ6" s="12" t="s">
        <v>56</v>
      </c>
      <c r="CR6" s="12" t="s">
        <v>56</v>
      </c>
      <c r="CS6" s="12" t="s">
        <v>56</v>
      </c>
      <c r="CT6" s="12" t="s">
        <v>56</v>
      </c>
      <c r="CU6" s="25" t="s">
        <v>56</v>
      </c>
      <c r="CV6" s="25" t="s">
        <v>56</v>
      </c>
      <c r="CW6" s="25" t="s">
        <v>56</v>
      </c>
      <c r="CX6" s="25" t="s">
        <v>56</v>
      </c>
      <c r="CY6" s="25" t="s">
        <v>56</v>
      </c>
      <c r="CZ6" s="25" t="s">
        <v>56</v>
      </c>
      <c r="DA6" s="25" t="s">
        <v>56</v>
      </c>
      <c r="DB6" s="25" t="s">
        <v>56</v>
      </c>
      <c r="DC6" s="25" t="s">
        <v>56</v>
      </c>
      <c r="DD6" s="25" t="s">
        <v>56</v>
      </c>
      <c r="DE6" s="25" t="s">
        <v>56</v>
      </c>
      <c r="DF6" s="25" t="s">
        <v>56</v>
      </c>
      <c r="DG6" s="25" t="s">
        <v>56</v>
      </c>
      <c r="DH6" s="25" t="s">
        <v>56</v>
      </c>
      <c r="DI6" s="25" t="s">
        <v>56</v>
      </c>
      <c r="DJ6" s="25" t="s">
        <v>56</v>
      </c>
      <c r="DK6" s="25" t="s">
        <v>56</v>
      </c>
      <c r="DL6" s="25" t="s">
        <v>56</v>
      </c>
      <c r="DM6" s="25" t="s">
        <v>56</v>
      </c>
      <c r="DN6" s="25" t="s">
        <v>56</v>
      </c>
      <c r="DO6" s="25" t="s">
        <v>56</v>
      </c>
      <c r="DP6" s="25" t="s">
        <v>56</v>
      </c>
      <c r="DQ6" s="25" t="s">
        <v>56</v>
      </c>
      <c r="DR6" s="25" t="s">
        <v>56</v>
      </c>
      <c r="DS6" s="25" t="s">
        <v>56</v>
      </c>
      <c r="DT6" s="25" t="s">
        <v>56</v>
      </c>
      <c r="DU6" s="25" t="s">
        <v>56</v>
      </c>
      <c r="DV6" s="25" t="s">
        <v>56</v>
      </c>
      <c r="DW6" s="25" t="s">
        <v>56</v>
      </c>
    </row>
    <row r="7" spans="1:128" s="25" customFormat="1" ht="21" customHeight="1">
      <c r="A7" s="25">
        <v>4</v>
      </c>
      <c r="B7" s="25" t="s">
        <v>80</v>
      </c>
      <c r="C7" s="45">
        <v>699701299</v>
      </c>
      <c r="D7" s="25" t="s">
        <v>76</v>
      </c>
      <c r="E7" s="70" t="s">
        <v>265</v>
      </c>
      <c r="F7" s="70" t="s">
        <v>264</v>
      </c>
      <c r="G7" s="25">
        <v>16</v>
      </c>
      <c r="H7" s="25" t="s">
        <v>81</v>
      </c>
      <c r="I7" s="25" t="s">
        <v>56</v>
      </c>
      <c r="J7" s="26">
        <v>1500000</v>
      </c>
      <c r="K7" s="25" t="s">
        <v>101</v>
      </c>
      <c r="L7" s="25" t="s">
        <v>82</v>
      </c>
      <c r="M7" s="25">
        <v>10</v>
      </c>
      <c r="N7" s="25" t="s">
        <v>43</v>
      </c>
      <c r="O7" s="30" t="s">
        <v>43</v>
      </c>
      <c r="P7" s="25" t="s">
        <v>56</v>
      </c>
      <c r="Q7" s="25" t="s">
        <v>56</v>
      </c>
      <c r="R7" s="25" t="s">
        <v>56</v>
      </c>
      <c r="S7" s="25" t="s">
        <v>56</v>
      </c>
      <c r="T7" s="25" t="s">
        <v>56</v>
      </c>
      <c r="U7" s="25" t="s">
        <v>56</v>
      </c>
      <c r="V7" s="25" t="s">
        <v>56</v>
      </c>
      <c r="W7" s="25" t="s">
        <v>56</v>
      </c>
      <c r="X7" s="25" t="s">
        <v>56</v>
      </c>
      <c r="Y7" s="25" t="s">
        <v>56</v>
      </c>
      <c r="Z7" s="25" t="s">
        <v>56</v>
      </c>
      <c r="AA7" s="25" t="s">
        <v>56</v>
      </c>
      <c r="AB7" s="25" t="s">
        <v>56</v>
      </c>
      <c r="AC7" s="25" t="s">
        <v>56</v>
      </c>
      <c r="AD7" s="25" t="s">
        <v>56</v>
      </c>
      <c r="AE7" s="25" t="s">
        <v>56</v>
      </c>
      <c r="AF7" s="25" t="s">
        <v>56</v>
      </c>
      <c r="AG7" s="25" t="s">
        <v>56</v>
      </c>
      <c r="AH7" s="25" t="s">
        <v>56</v>
      </c>
      <c r="AI7" s="25" t="s">
        <v>56</v>
      </c>
      <c r="AJ7" s="25" t="s">
        <v>56</v>
      </c>
      <c r="AK7" s="25" t="s">
        <v>56</v>
      </c>
      <c r="AL7" s="25" t="s">
        <v>56</v>
      </c>
      <c r="AM7" s="25" t="s">
        <v>56</v>
      </c>
      <c r="AN7" s="25" t="s">
        <v>56</v>
      </c>
      <c r="AO7" s="25" t="s">
        <v>56</v>
      </c>
      <c r="AP7" s="25" t="s">
        <v>56</v>
      </c>
      <c r="AQ7" s="25" t="s">
        <v>56</v>
      </c>
      <c r="AR7" s="25" t="s">
        <v>56</v>
      </c>
      <c r="AS7" s="25" t="s">
        <v>56</v>
      </c>
      <c r="AT7" s="25" t="s">
        <v>56</v>
      </c>
      <c r="AU7" s="25" t="s">
        <v>56</v>
      </c>
      <c r="AV7" s="25" t="s">
        <v>56</v>
      </c>
      <c r="AW7" s="25" t="s">
        <v>56</v>
      </c>
      <c r="AX7" s="25" t="s">
        <v>56</v>
      </c>
      <c r="AY7" s="25" t="s">
        <v>56</v>
      </c>
      <c r="AZ7" s="25" t="s">
        <v>56</v>
      </c>
      <c r="BA7" s="25" t="s">
        <v>56</v>
      </c>
      <c r="BB7" s="25" t="s">
        <v>56</v>
      </c>
      <c r="BC7" s="25" t="s">
        <v>56</v>
      </c>
      <c r="BD7" s="25" t="s">
        <v>56</v>
      </c>
      <c r="BE7" s="25" t="s">
        <v>56</v>
      </c>
      <c r="BF7" s="25" t="s">
        <v>56</v>
      </c>
      <c r="BG7" s="25" t="s">
        <v>56</v>
      </c>
      <c r="BH7" s="25" t="s">
        <v>56</v>
      </c>
      <c r="BI7" s="25" t="s">
        <v>56</v>
      </c>
      <c r="BJ7" s="25" t="s">
        <v>56</v>
      </c>
      <c r="BK7" s="25" t="s">
        <v>56</v>
      </c>
      <c r="BL7" s="25" t="s">
        <v>56</v>
      </c>
      <c r="BM7" s="25" t="s">
        <v>56</v>
      </c>
      <c r="BN7" s="25" t="s">
        <v>56</v>
      </c>
      <c r="BO7" s="25" t="s">
        <v>56</v>
      </c>
      <c r="BP7" s="25" t="s">
        <v>56</v>
      </c>
      <c r="BQ7" s="25" t="s">
        <v>56</v>
      </c>
      <c r="BR7" s="25" t="s">
        <v>56</v>
      </c>
      <c r="BS7" s="25" t="s">
        <v>56</v>
      </c>
      <c r="BT7" s="25" t="s">
        <v>56</v>
      </c>
      <c r="BU7" s="25" t="s">
        <v>56</v>
      </c>
      <c r="BV7" s="25" t="s">
        <v>56</v>
      </c>
      <c r="BW7" s="25" t="s">
        <v>56</v>
      </c>
      <c r="BX7" s="25" t="s">
        <v>56</v>
      </c>
      <c r="BY7" s="25" t="s">
        <v>56</v>
      </c>
      <c r="BZ7" s="25" t="s">
        <v>56</v>
      </c>
      <c r="CA7" s="25" t="s">
        <v>56</v>
      </c>
      <c r="CB7" s="25" t="s">
        <v>56</v>
      </c>
      <c r="CC7" s="25" t="s">
        <v>56</v>
      </c>
      <c r="CD7" s="25" t="s">
        <v>56</v>
      </c>
      <c r="CE7" s="25" t="s">
        <v>56</v>
      </c>
      <c r="CF7" s="25" t="s">
        <v>56</v>
      </c>
      <c r="CG7" s="25" t="s">
        <v>56</v>
      </c>
      <c r="CH7" s="25" t="s">
        <v>56</v>
      </c>
      <c r="CI7" s="25" t="s">
        <v>56</v>
      </c>
      <c r="CJ7" s="25" t="s">
        <v>56</v>
      </c>
      <c r="CK7" s="25" t="s">
        <v>56</v>
      </c>
      <c r="CL7" s="25" t="s">
        <v>56</v>
      </c>
      <c r="CM7" s="25" t="s">
        <v>56</v>
      </c>
      <c r="CN7" s="12" t="s">
        <v>43</v>
      </c>
      <c r="CO7" s="12" t="s">
        <v>43</v>
      </c>
      <c r="CP7" s="12" t="s">
        <v>43</v>
      </c>
      <c r="CQ7" s="12" t="s">
        <v>43</v>
      </c>
      <c r="CR7" s="12" t="s">
        <v>56</v>
      </c>
      <c r="CS7" s="12" t="s">
        <v>43</v>
      </c>
      <c r="CT7" s="3" t="s">
        <v>43</v>
      </c>
      <c r="CU7" s="25" t="s">
        <v>43</v>
      </c>
      <c r="CV7" s="25" t="s">
        <v>43</v>
      </c>
      <c r="CW7" s="25" t="s">
        <v>43</v>
      </c>
      <c r="CX7" s="25" t="s">
        <v>43</v>
      </c>
      <c r="CY7" s="25" t="s">
        <v>43</v>
      </c>
      <c r="CZ7" s="25" t="s">
        <v>43</v>
      </c>
      <c r="DA7" s="25" t="s">
        <v>43</v>
      </c>
      <c r="DB7" s="25" t="s">
        <v>43</v>
      </c>
      <c r="DC7" s="25" t="s">
        <v>43</v>
      </c>
      <c r="DD7" s="25" t="s">
        <v>43</v>
      </c>
      <c r="DE7" s="25" t="s">
        <v>43</v>
      </c>
      <c r="DF7" s="25" t="s">
        <v>56</v>
      </c>
      <c r="DG7" s="25" t="s">
        <v>56</v>
      </c>
      <c r="DH7" s="25" t="s">
        <v>56</v>
      </c>
      <c r="DI7" s="25" t="s">
        <v>56</v>
      </c>
      <c r="DJ7" s="25" t="s">
        <v>56</v>
      </c>
      <c r="DK7" s="25" t="s">
        <v>56</v>
      </c>
      <c r="DL7" s="25" t="s">
        <v>56</v>
      </c>
      <c r="DM7" s="25" t="s">
        <v>56</v>
      </c>
      <c r="DN7" s="25" t="s">
        <v>56</v>
      </c>
      <c r="DO7" s="25" t="s">
        <v>56</v>
      </c>
      <c r="DP7" s="25" t="s">
        <v>56</v>
      </c>
      <c r="DQ7" s="25" t="s">
        <v>56</v>
      </c>
      <c r="DR7" s="25" t="s">
        <v>56</v>
      </c>
      <c r="DS7" s="25" t="s">
        <v>56</v>
      </c>
      <c r="DT7" s="25" t="s">
        <v>56</v>
      </c>
      <c r="DU7" s="25" t="s">
        <v>56</v>
      </c>
      <c r="DV7" s="25" t="s">
        <v>56</v>
      </c>
      <c r="DW7" s="25" t="s">
        <v>56</v>
      </c>
    </row>
    <row r="8" spans="1:128" s="25" customFormat="1" ht="24.6" customHeight="1">
      <c r="A8" s="25">
        <v>5</v>
      </c>
      <c r="B8" s="25" t="s">
        <v>83</v>
      </c>
      <c r="C8" s="45">
        <v>652591465</v>
      </c>
      <c r="D8" s="25" t="s">
        <v>84</v>
      </c>
      <c r="E8" s="70" t="s">
        <v>269</v>
      </c>
      <c r="F8" s="70" t="s">
        <v>268</v>
      </c>
      <c r="G8" s="25">
        <v>13</v>
      </c>
      <c r="H8" s="25" t="s">
        <v>85</v>
      </c>
      <c r="I8" s="25" t="s">
        <v>56</v>
      </c>
      <c r="J8" s="26">
        <v>2500000</v>
      </c>
      <c r="K8" s="25" t="s">
        <v>101</v>
      </c>
      <c r="L8" s="25" t="s">
        <v>82</v>
      </c>
      <c r="M8" s="25">
        <v>10</v>
      </c>
      <c r="N8" s="25" t="s">
        <v>43</v>
      </c>
      <c r="O8" s="25" t="s">
        <v>56</v>
      </c>
      <c r="P8" s="25" t="s">
        <v>56</v>
      </c>
      <c r="Q8" s="25" t="s">
        <v>56</v>
      </c>
      <c r="R8" s="25" t="s">
        <v>56</v>
      </c>
      <c r="S8" s="25" t="s">
        <v>56</v>
      </c>
      <c r="T8" s="25" t="s">
        <v>56</v>
      </c>
      <c r="U8" s="25" t="s">
        <v>56</v>
      </c>
      <c r="V8" s="25" t="s">
        <v>56</v>
      </c>
      <c r="W8" s="25" t="s">
        <v>56</v>
      </c>
      <c r="X8" s="25" t="s">
        <v>56</v>
      </c>
      <c r="Y8" s="25" t="s">
        <v>56</v>
      </c>
      <c r="Z8" s="25" t="s">
        <v>56</v>
      </c>
      <c r="AA8" s="25" t="s">
        <v>56</v>
      </c>
      <c r="AB8" s="25" t="s">
        <v>56</v>
      </c>
      <c r="AC8" s="25" t="s">
        <v>56</v>
      </c>
      <c r="AD8" s="25" t="s">
        <v>56</v>
      </c>
      <c r="AE8" s="25" t="s">
        <v>56</v>
      </c>
      <c r="AF8" s="25" t="s">
        <v>56</v>
      </c>
      <c r="AG8" s="25" t="s">
        <v>56</v>
      </c>
      <c r="AH8" s="25" t="s">
        <v>56</v>
      </c>
      <c r="AI8" s="25" t="s">
        <v>56</v>
      </c>
      <c r="AJ8" s="25" t="s">
        <v>56</v>
      </c>
      <c r="AK8" s="25" t="s">
        <v>56</v>
      </c>
      <c r="AL8" s="25" t="s">
        <v>56</v>
      </c>
      <c r="AM8" s="25" t="s">
        <v>56</v>
      </c>
      <c r="AN8" s="25" t="s">
        <v>56</v>
      </c>
      <c r="AO8" s="25" t="s">
        <v>56</v>
      </c>
      <c r="AP8" s="25" t="s">
        <v>56</v>
      </c>
      <c r="AQ8" s="25" t="s">
        <v>56</v>
      </c>
      <c r="AR8" s="25" t="s">
        <v>56</v>
      </c>
      <c r="AS8" s="25" t="s">
        <v>56</v>
      </c>
      <c r="AT8" s="25" t="s">
        <v>56</v>
      </c>
      <c r="AU8" s="25" t="s">
        <v>56</v>
      </c>
      <c r="AV8" s="25" t="s">
        <v>56</v>
      </c>
      <c r="AW8" s="25" t="s">
        <v>56</v>
      </c>
      <c r="AX8" s="25" t="s">
        <v>56</v>
      </c>
      <c r="AY8" s="25" t="s">
        <v>56</v>
      </c>
      <c r="AZ8" s="25" t="s">
        <v>56</v>
      </c>
      <c r="BA8" s="25" t="s">
        <v>56</v>
      </c>
      <c r="BB8" s="25" t="s">
        <v>56</v>
      </c>
      <c r="BC8" s="25" t="s">
        <v>56</v>
      </c>
      <c r="BD8" s="25" t="s">
        <v>56</v>
      </c>
      <c r="BE8" s="25" t="s">
        <v>56</v>
      </c>
      <c r="BF8" s="25" t="s">
        <v>56</v>
      </c>
      <c r="BG8" s="25" t="s">
        <v>56</v>
      </c>
      <c r="BH8" s="25" t="s">
        <v>56</v>
      </c>
      <c r="BI8" s="25" t="s">
        <v>56</v>
      </c>
      <c r="BJ8" s="25" t="s">
        <v>56</v>
      </c>
      <c r="BK8" s="25" t="s">
        <v>56</v>
      </c>
      <c r="BL8" s="25" t="s">
        <v>56</v>
      </c>
      <c r="BM8" s="25" t="s">
        <v>56</v>
      </c>
      <c r="BN8" s="25" t="s">
        <v>56</v>
      </c>
      <c r="BO8" s="25" t="s">
        <v>56</v>
      </c>
      <c r="BP8" s="25" t="s">
        <v>56</v>
      </c>
      <c r="BQ8" s="25" t="s">
        <v>56</v>
      </c>
      <c r="BR8" s="25" t="s">
        <v>56</v>
      </c>
      <c r="BS8" s="25" t="s">
        <v>56</v>
      </c>
      <c r="BT8" s="25" t="s">
        <v>56</v>
      </c>
      <c r="BU8" s="25" t="s">
        <v>56</v>
      </c>
      <c r="BV8" s="12" t="s">
        <v>78</v>
      </c>
      <c r="BW8" s="12" t="s">
        <v>78</v>
      </c>
      <c r="BX8" s="12" t="s">
        <v>56</v>
      </c>
      <c r="BY8" s="12" t="s">
        <v>56</v>
      </c>
      <c r="BZ8" s="12" t="s">
        <v>56</v>
      </c>
      <c r="CA8" s="12" t="s">
        <v>43</v>
      </c>
      <c r="CB8" s="12" t="s">
        <v>43</v>
      </c>
      <c r="CC8" s="12" t="s">
        <v>56</v>
      </c>
      <c r="CD8" s="12" t="s">
        <v>78</v>
      </c>
      <c r="CE8" s="12" t="s">
        <v>78</v>
      </c>
      <c r="CF8" s="12" t="s">
        <v>78</v>
      </c>
      <c r="CG8" s="12" t="s">
        <v>43</v>
      </c>
      <c r="CH8" s="12" t="s">
        <v>43</v>
      </c>
      <c r="CI8" s="12" t="s">
        <v>43</v>
      </c>
      <c r="CJ8" s="12" t="s">
        <v>43</v>
      </c>
      <c r="CK8" s="12" t="s">
        <v>43</v>
      </c>
      <c r="CL8" s="12" t="s">
        <v>43</v>
      </c>
      <c r="CM8" s="25" t="s">
        <v>56</v>
      </c>
      <c r="CN8" s="25" t="s">
        <v>56</v>
      </c>
      <c r="CO8" s="25" t="s">
        <v>56</v>
      </c>
      <c r="CP8" s="25" t="s">
        <v>56</v>
      </c>
      <c r="CQ8" s="25" t="s">
        <v>56</v>
      </c>
      <c r="CR8" s="25" t="s">
        <v>56</v>
      </c>
      <c r="CS8" s="25" t="s">
        <v>56</v>
      </c>
      <c r="CT8" s="3" t="s">
        <v>56</v>
      </c>
      <c r="CU8" s="25" t="s">
        <v>56</v>
      </c>
      <c r="CV8" s="25" t="s">
        <v>56</v>
      </c>
      <c r="CW8" s="25" t="s">
        <v>56</v>
      </c>
      <c r="CX8" s="25" t="s">
        <v>56</v>
      </c>
      <c r="CY8" s="25" t="s">
        <v>56</v>
      </c>
      <c r="CZ8" s="25" t="s">
        <v>56</v>
      </c>
      <c r="DA8" s="25" t="s">
        <v>56</v>
      </c>
      <c r="DB8" s="25" t="s">
        <v>56</v>
      </c>
      <c r="DC8" s="25" t="s">
        <v>56</v>
      </c>
      <c r="DD8" s="25" t="s">
        <v>56</v>
      </c>
      <c r="DE8" s="25" t="s">
        <v>56</v>
      </c>
      <c r="DF8" s="25" t="s">
        <v>56</v>
      </c>
      <c r="DG8" s="25" t="s">
        <v>56</v>
      </c>
      <c r="DH8" s="25" t="s">
        <v>56</v>
      </c>
      <c r="DI8" s="25" t="s">
        <v>56</v>
      </c>
      <c r="DJ8" s="25" t="s">
        <v>56</v>
      </c>
      <c r="DK8" s="25" t="s">
        <v>56</v>
      </c>
      <c r="DL8" s="25" t="s">
        <v>56</v>
      </c>
      <c r="DM8" s="25" t="s">
        <v>56</v>
      </c>
      <c r="DN8" s="25" t="s">
        <v>56</v>
      </c>
      <c r="DO8" s="25" t="s">
        <v>56</v>
      </c>
      <c r="DP8" s="25" t="s">
        <v>56</v>
      </c>
      <c r="DQ8" s="25" t="s">
        <v>56</v>
      </c>
      <c r="DR8" s="25" t="s">
        <v>56</v>
      </c>
      <c r="DS8" s="25" t="s">
        <v>56</v>
      </c>
      <c r="DT8" s="25" t="s">
        <v>56</v>
      </c>
      <c r="DU8" s="25" t="s">
        <v>56</v>
      </c>
      <c r="DV8" s="25" t="s">
        <v>56</v>
      </c>
      <c r="DW8" s="25" t="s">
        <v>56</v>
      </c>
    </row>
    <row r="9" spans="1:128" s="25" customFormat="1" ht="24.6" customHeight="1">
      <c r="A9" s="25">
        <v>6</v>
      </c>
      <c r="B9" s="25" t="s">
        <v>86</v>
      </c>
      <c r="C9" s="45">
        <v>676502725</v>
      </c>
      <c r="D9" s="25" t="s">
        <v>87</v>
      </c>
      <c r="E9" s="70" t="s">
        <v>267</v>
      </c>
      <c r="F9" s="70" t="s">
        <v>266</v>
      </c>
      <c r="G9" s="25">
        <v>11</v>
      </c>
      <c r="H9" s="25" t="s">
        <v>88</v>
      </c>
      <c r="I9" s="25" t="s">
        <v>56</v>
      </c>
      <c r="J9" s="26">
        <v>2000000</v>
      </c>
      <c r="K9" s="25" t="s">
        <v>74</v>
      </c>
      <c r="L9" s="25" t="s">
        <v>89</v>
      </c>
      <c r="M9" s="25">
        <v>14</v>
      </c>
      <c r="N9" s="25" t="s">
        <v>43</v>
      </c>
      <c r="O9" s="25" t="s">
        <v>56</v>
      </c>
      <c r="P9" s="25" t="s">
        <v>56</v>
      </c>
      <c r="Q9" s="25" t="s">
        <v>56</v>
      </c>
      <c r="R9" s="25" t="s">
        <v>56</v>
      </c>
      <c r="S9" s="25" t="s">
        <v>56</v>
      </c>
      <c r="T9" s="25" t="s">
        <v>43</v>
      </c>
      <c r="U9" s="25" t="s">
        <v>43</v>
      </c>
      <c r="V9" s="25" t="s">
        <v>43</v>
      </c>
      <c r="W9" s="25" t="s">
        <v>43</v>
      </c>
      <c r="X9" s="25" t="s">
        <v>43</v>
      </c>
      <c r="Y9" s="25" t="s">
        <v>43</v>
      </c>
      <c r="Z9" s="25" t="s">
        <v>43</v>
      </c>
      <c r="AA9" s="25" t="s">
        <v>43</v>
      </c>
      <c r="AB9" s="25" t="s">
        <v>43</v>
      </c>
      <c r="AC9" s="25" t="s">
        <v>43</v>
      </c>
      <c r="AD9" s="25" t="s">
        <v>43</v>
      </c>
      <c r="AE9" s="25" t="s">
        <v>43</v>
      </c>
      <c r="AF9" s="25" t="s">
        <v>43</v>
      </c>
      <c r="AG9" s="25" t="s">
        <v>43</v>
      </c>
      <c r="AH9" s="25" t="s">
        <v>43</v>
      </c>
      <c r="AI9" s="25" t="s">
        <v>43</v>
      </c>
      <c r="AJ9" s="25" t="s">
        <v>43</v>
      </c>
      <c r="AK9" s="25" t="s">
        <v>43</v>
      </c>
      <c r="AL9" s="25" t="s">
        <v>56</v>
      </c>
      <c r="AM9" s="25" t="s">
        <v>56</v>
      </c>
      <c r="AN9" s="25" t="s">
        <v>56</v>
      </c>
      <c r="AO9" s="25" t="s">
        <v>56</v>
      </c>
      <c r="AP9" s="25" t="s">
        <v>56</v>
      </c>
      <c r="AQ9" s="25" t="s">
        <v>56</v>
      </c>
      <c r="AR9" s="25" t="s">
        <v>56</v>
      </c>
      <c r="AS9" s="25" t="s">
        <v>56</v>
      </c>
      <c r="AT9" s="25" t="s">
        <v>56</v>
      </c>
      <c r="AU9" s="25" t="s">
        <v>56</v>
      </c>
      <c r="AV9" s="25" t="s">
        <v>56</v>
      </c>
      <c r="AW9" s="25" t="s">
        <v>56</v>
      </c>
      <c r="AX9" s="25" t="s">
        <v>56</v>
      </c>
      <c r="AY9" s="25" t="s">
        <v>56</v>
      </c>
      <c r="AZ9" s="25" t="s">
        <v>56</v>
      </c>
      <c r="BA9" s="25" t="s">
        <v>56</v>
      </c>
      <c r="BB9" s="25" t="s">
        <v>56</v>
      </c>
      <c r="BC9" s="25" t="s">
        <v>56</v>
      </c>
      <c r="BD9" s="25" t="s">
        <v>56</v>
      </c>
      <c r="BE9" s="25" t="s">
        <v>56</v>
      </c>
      <c r="BF9" s="25" t="s">
        <v>56</v>
      </c>
      <c r="BG9" s="25" t="s">
        <v>56</v>
      </c>
      <c r="BH9" s="25" t="s">
        <v>56</v>
      </c>
      <c r="BI9" s="25" t="s">
        <v>56</v>
      </c>
      <c r="BJ9" s="25" t="s">
        <v>56</v>
      </c>
      <c r="BK9" s="25" t="s">
        <v>56</v>
      </c>
      <c r="BL9" s="25" t="s">
        <v>56</v>
      </c>
      <c r="BM9" s="25" t="s">
        <v>56</v>
      </c>
      <c r="BN9" s="25" t="s">
        <v>56</v>
      </c>
      <c r="BO9" s="25" t="s">
        <v>56</v>
      </c>
      <c r="BP9" s="25" t="s">
        <v>56</v>
      </c>
      <c r="BQ9" s="25" t="s">
        <v>56</v>
      </c>
      <c r="BR9" s="25" t="s">
        <v>56</v>
      </c>
      <c r="BS9" s="25" t="s">
        <v>56</v>
      </c>
      <c r="BT9" s="25" t="s">
        <v>56</v>
      </c>
      <c r="BU9" s="25" t="s">
        <v>56</v>
      </c>
      <c r="BV9" s="12" t="s">
        <v>56</v>
      </c>
      <c r="BW9" s="12" t="s">
        <v>56</v>
      </c>
      <c r="BX9" s="12" t="s">
        <v>56</v>
      </c>
      <c r="BY9" s="12" t="s">
        <v>56</v>
      </c>
      <c r="BZ9" s="12" t="s">
        <v>56</v>
      </c>
      <c r="CA9" s="12" t="s">
        <v>56</v>
      </c>
      <c r="CB9" s="12" t="s">
        <v>56</v>
      </c>
      <c r="CC9" s="12" t="s">
        <v>56</v>
      </c>
      <c r="CD9" s="12" t="s">
        <v>56</v>
      </c>
      <c r="CE9" s="12" t="s">
        <v>56</v>
      </c>
      <c r="CF9" s="12" t="s">
        <v>56</v>
      </c>
      <c r="CG9" s="12" t="s">
        <v>56</v>
      </c>
      <c r="CH9" s="12" t="s">
        <v>56</v>
      </c>
      <c r="CI9" s="12" t="s">
        <v>56</v>
      </c>
      <c r="CJ9" s="12" t="s">
        <v>56</v>
      </c>
      <c r="CK9" s="12" t="s">
        <v>56</v>
      </c>
      <c r="CL9" s="12" t="s">
        <v>56</v>
      </c>
      <c r="CM9" s="25" t="s">
        <v>56</v>
      </c>
      <c r="CN9" s="25" t="s">
        <v>56</v>
      </c>
      <c r="CO9" s="25" t="s">
        <v>56</v>
      </c>
      <c r="CP9" s="25" t="s">
        <v>56</v>
      </c>
      <c r="CQ9" s="25" t="s">
        <v>56</v>
      </c>
      <c r="CR9" s="25" t="s">
        <v>56</v>
      </c>
      <c r="CS9" s="25" t="s">
        <v>56</v>
      </c>
      <c r="CT9" s="3" t="s">
        <v>56</v>
      </c>
      <c r="CU9" s="25" t="s">
        <v>56</v>
      </c>
      <c r="CV9" s="25" t="s">
        <v>56</v>
      </c>
      <c r="CW9" s="25" t="s">
        <v>56</v>
      </c>
      <c r="CX9" s="25" t="s">
        <v>56</v>
      </c>
      <c r="CY9" s="25" t="s">
        <v>56</v>
      </c>
      <c r="CZ9" s="25" t="s">
        <v>56</v>
      </c>
      <c r="DA9" s="25" t="s">
        <v>56</v>
      </c>
      <c r="DB9" s="25" t="s">
        <v>56</v>
      </c>
      <c r="DC9" s="25" t="s">
        <v>56</v>
      </c>
      <c r="DD9" s="25" t="s">
        <v>56</v>
      </c>
      <c r="DE9" s="25" t="s">
        <v>56</v>
      </c>
      <c r="DF9" s="25" t="s">
        <v>56</v>
      </c>
      <c r="DG9" s="25" t="s">
        <v>56</v>
      </c>
      <c r="DH9" s="25" t="s">
        <v>56</v>
      </c>
      <c r="DI9" s="25" t="s">
        <v>56</v>
      </c>
      <c r="DJ9" s="25" t="s">
        <v>56</v>
      </c>
      <c r="DK9" s="25" t="s">
        <v>56</v>
      </c>
      <c r="DL9" s="25" t="s">
        <v>56</v>
      </c>
      <c r="DM9" s="25" t="s">
        <v>56</v>
      </c>
      <c r="DN9" s="25" t="s">
        <v>56</v>
      </c>
      <c r="DO9" s="25" t="s">
        <v>56</v>
      </c>
      <c r="DP9" s="25" t="s">
        <v>56</v>
      </c>
      <c r="DQ9" s="25" t="s">
        <v>56</v>
      </c>
      <c r="DR9" s="25" t="s">
        <v>56</v>
      </c>
      <c r="DS9" s="25" t="s">
        <v>56</v>
      </c>
      <c r="DT9" s="25" t="s">
        <v>56</v>
      </c>
      <c r="DU9" s="25" t="s">
        <v>56</v>
      </c>
      <c r="DV9" s="25" t="s">
        <v>56</v>
      </c>
      <c r="DW9" s="25" t="s">
        <v>56</v>
      </c>
    </row>
    <row r="10" spans="1:128" s="29" customFormat="1" ht="24.6" customHeight="1">
      <c r="A10" s="29">
        <v>7</v>
      </c>
      <c r="B10" s="29" t="s">
        <v>90</v>
      </c>
      <c r="C10" s="87">
        <v>691772660</v>
      </c>
      <c r="D10" s="29" t="s">
        <v>91</v>
      </c>
      <c r="E10" s="89" t="s">
        <v>271</v>
      </c>
      <c r="F10" s="89" t="s">
        <v>270</v>
      </c>
      <c r="G10" s="29">
        <v>40</v>
      </c>
      <c r="H10" s="29" t="s">
        <v>92</v>
      </c>
      <c r="I10" s="29" t="s">
        <v>56</v>
      </c>
      <c r="J10" s="88">
        <v>1200000</v>
      </c>
      <c r="K10" s="29" t="s">
        <v>74</v>
      </c>
      <c r="L10" s="29" t="s">
        <v>93</v>
      </c>
      <c r="M10" s="29">
        <v>5</v>
      </c>
      <c r="N10" s="29" t="s">
        <v>43</v>
      </c>
      <c r="O10" s="29" t="s">
        <v>43</v>
      </c>
      <c r="P10" s="29" t="s">
        <v>56</v>
      </c>
      <c r="Q10" s="29" t="s">
        <v>56</v>
      </c>
      <c r="R10" s="29" t="s">
        <v>56</v>
      </c>
      <c r="S10" s="29" t="s">
        <v>56</v>
      </c>
      <c r="V10" s="29" t="s">
        <v>43</v>
      </c>
      <c r="W10" s="29" t="s">
        <v>43</v>
      </c>
      <c r="X10" s="29" t="s">
        <v>43</v>
      </c>
      <c r="Y10" s="29" t="s">
        <v>56</v>
      </c>
      <c r="Z10" s="29" t="s">
        <v>56</v>
      </c>
      <c r="AA10" s="29" t="s">
        <v>56</v>
      </c>
      <c r="AB10" s="29" t="s">
        <v>56</v>
      </c>
      <c r="AC10" s="29" t="s">
        <v>56</v>
      </c>
      <c r="AD10" s="29" t="s">
        <v>56</v>
      </c>
      <c r="AE10" s="29" t="s">
        <v>56</v>
      </c>
      <c r="AF10" s="29" t="s">
        <v>56</v>
      </c>
      <c r="AG10" s="29" t="s">
        <v>56</v>
      </c>
      <c r="AH10" s="29" t="s">
        <v>56</v>
      </c>
      <c r="AI10" s="29" t="s">
        <v>56</v>
      </c>
      <c r="AJ10" s="29" t="s">
        <v>56</v>
      </c>
      <c r="AK10" s="29" t="s">
        <v>56</v>
      </c>
      <c r="AN10" s="29" t="s">
        <v>56</v>
      </c>
      <c r="AQ10" s="29" t="s">
        <v>56</v>
      </c>
      <c r="AR10" s="29" t="s">
        <v>56</v>
      </c>
      <c r="AS10" s="29" t="s">
        <v>56</v>
      </c>
      <c r="AT10" s="29" t="s">
        <v>56</v>
      </c>
      <c r="AU10" s="29" t="s">
        <v>56</v>
      </c>
      <c r="AV10" s="29" t="s">
        <v>56</v>
      </c>
      <c r="AW10" s="29" t="s">
        <v>56</v>
      </c>
      <c r="AX10" s="29" t="s">
        <v>56</v>
      </c>
      <c r="AY10" s="29" t="s">
        <v>56</v>
      </c>
      <c r="AZ10" s="29" t="s">
        <v>56</v>
      </c>
      <c r="BA10" s="29" t="s">
        <v>56</v>
      </c>
      <c r="BB10" s="29" t="s">
        <v>56</v>
      </c>
      <c r="BC10" s="29" t="s">
        <v>56</v>
      </c>
      <c r="BD10" s="29" t="s">
        <v>56</v>
      </c>
      <c r="BE10" s="29" t="s">
        <v>56</v>
      </c>
      <c r="BF10" s="29" t="s">
        <v>56</v>
      </c>
      <c r="BG10" s="29" t="s">
        <v>56</v>
      </c>
      <c r="BH10" s="29" t="s">
        <v>56</v>
      </c>
      <c r="BI10" s="29" t="s">
        <v>56</v>
      </c>
      <c r="BJ10" s="29" t="s">
        <v>56</v>
      </c>
      <c r="BK10" s="29" t="s">
        <v>56</v>
      </c>
      <c r="BL10" s="29" t="s">
        <v>56</v>
      </c>
      <c r="BM10" s="29" t="s">
        <v>56</v>
      </c>
      <c r="BN10" s="29" t="s">
        <v>56</v>
      </c>
      <c r="BO10" s="29" t="s">
        <v>56</v>
      </c>
      <c r="BP10" s="29" t="s">
        <v>56</v>
      </c>
      <c r="BQ10" s="29" t="s">
        <v>56</v>
      </c>
      <c r="BR10" s="29" t="s">
        <v>56</v>
      </c>
      <c r="BS10" s="29" t="s">
        <v>56</v>
      </c>
      <c r="BT10" s="29" t="s">
        <v>56</v>
      </c>
      <c r="BU10" s="29" t="s">
        <v>56</v>
      </c>
      <c r="BV10" s="69" t="s">
        <v>56</v>
      </c>
      <c r="BW10" s="69" t="s">
        <v>56</v>
      </c>
      <c r="BX10" s="69" t="s">
        <v>56</v>
      </c>
      <c r="BY10" s="69" t="s">
        <v>56</v>
      </c>
      <c r="BZ10" s="69" t="s">
        <v>56</v>
      </c>
      <c r="CA10" s="69" t="s">
        <v>56</v>
      </c>
      <c r="CB10" s="69" t="s">
        <v>56</v>
      </c>
      <c r="CC10" s="69" t="s">
        <v>56</v>
      </c>
      <c r="CD10" s="69" t="s">
        <v>56</v>
      </c>
      <c r="CE10" s="69" t="s">
        <v>56</v>
      </c>
      <c r="CF10" s="69" t="s">
        <v>56</v>
      </c>
      <c r="CG10" s="69" t="s">
        <v>56</v>
      </c>
      <c r="CH10" s="69" t="s">
        <v>56</v>
      </c>
      <c r="CI10" s="69" t="s">
        <v>56</v>
      </c>
      <c r="CJ10" s="69" t="s">
        <v>56</v>
      </c>
      <c r="CK10" s="69" t="s">
        <v>56</v>
      </c>
      <c r="CL10" s="69" t="s">
        <v>56</v>
      </c>
      <c r="CM10" s="29" t="s">
        <v>56</v>
      </c>
      <c r="CN10" s="29" t="s">
        <v>56</v>
      </c>
      <c r="CO10" s="29" t="s">
        <v>56</v>
      </c>
      <c r="CP10" s="29" t="s">
        <v>56</v>
      </c>
      <c r="CQ10" s="29" t="s">
        <v>56</v>
      </c>
      <c r="CR10" s="29" t="s">
        <v>56</v>
      </c>
      <c r="CS10" s="29" t="s">
        <v>56</v>
      </c>
      <c r="CT10" s="68" t="s">
        <v>56</v>
      </c>
      <c r="CU10" s="29" t="s">
        <v>56</v>
      </c>
      <c r="CV10" s="29" t="s">
        <v>56</v>
      </c>
      <c r="CW10" s="29" t="s">
        <v>56</v>
      </c>
      <c r="CX10" s="29" t="s">
        <v>56</v>
      </c>
      <c r="CY10" s="29" t="s">
        <v>56</v>
      </c>
      <c r="CZ10" s="29" t="s">
        <v>56</v>
      </c>
      <c r="DA10" s="29" t="s">
        <v>56</v>
      </c>
      <c r="DB10" s="29" t="s">
        <v>56</v>
      </c>
      <c r="DC10" s="29" t="s">
        <v>56</v>
      </c>
      <c r="DD10" s="29" t="s">
        <v>56</v>
      </c>
      <c r="DE10" s="29" t="s">
        <v>56</v>
      </c>
      <c r="DF10" s="29" t="s">
        <v>56</v>
      </c>
      <c r="DG10" s="29" t="s">
        <v>56</v>
      </c>
      <c r="DH10" s="29" t="s">
        <v>56</v>
      </c>
      <c r="DI10" s="29" t="s">
        <v>56</v>
      </c>
      <c r="DJ10" s="29" t="s">
        <v>56</v>
      </c>
      <c r="DK10" s="29" t="s">
        <v>56</v>
      </c>
      <c r="DL10" s="29" t="s">
        <v>56</v>
      </c>
      <c r="DM10" s="29" t="s">
        <v>56</v>
      </c>
      <c r="DN10" s="29" t="s">
        <v>56</v>
      </c>
      <c r="DO10" s="29" t="s">
        <v>56</v>
      </c>
      <c r="DP10" s="29" t="s">
        <v>56</v>
      </c>
      <c r="DQ10" s="29" t="s">
        <v>56</v>
      </c>
      <c r="DR10" s="29" t="s">
        <v>56</v>
      </c>
      <c r="DS10" s="29" t="s">
        <v>56</v>
      </c>
      <c r="DT10" s="29" t="s">
        <v>56</v>
      </c>
      <c r="DU10" s="29" t="s">
        <v>56</v>
      </c>
      <c r="DV10" s="29" t="s">
        <v>56</v>
      </c>
      <c r="DW10" s="29" t="s">
        <v>56</v>
      </c>
    </row>
    <row r="11" spans="1:128" s="29" customFormat="1" ht="24.6" customHeight="1">
      <c r="A11" s="29">
        <v>8</v>
      </c>
      <c r="B11" s="29" t="s">
        <v>94</v>
      </c>
      <c r="C11" s="87">
        <v>696112432</v>
      </c>
      <c r="D11" s="29" t="s">
        <v>95</v>
      </c>
      <c r="E11" s="90" t="s">
        <v>273</v>
      </c>
      <c r="F11" s="90" t="s">
        <v>272</v>
      </c>
      <c r="G11" s="29">
        <v>100</v>
      </c>
      <c r="H11" s="29" t="s">
        <v>96</v>
      </c>
      <c r="I11" s="29" t="s">
        <v>56</v>
      </c>
      <c r="J11" s="88">
        <v>6000000</v>
      </c>
      <c r="K11" s="29" t="s">
        <v>74</v>
      </c>
      <c r="L11" s="29" t="s">
        <v>97</v>
      </c>
      <c r="M11" s="29">
        <v>3</v>
      </c>
      <c r="N11" s="29" t="s">
        <v>43</v>
      </c>
      <c r="O11" s="29" t="s">
        <v>43</v>
      </c>
      <c r="P11" s="29" t="s">
        <v>56</v>
      </c>
      <c r="Q11" s="29" t="s">
        <v>56</v>
      </c>
      <c r="R11" s="29" t="s">
        <v>56</v>
      </c>
      <c r="S11" s="29" t="s">
        <v>56</v>
      </c>
      <c r="T11" s="29" t="s">
        <v>56</v>
      </c>
      <c r="U11" s="29" t="s">
        <v>56</v>
      </c>
      <c r="V11" s="29" t="s">
        <v>43</v>
      </c>
      <c r="W11" s="29" t="s">
        <v>56</v>
      </c>
      <c r="X11" s="29" t="s">
        <v>43</v>
      </c>
      <c r="Y11" s="29" t="s">
        <v>43</v>
      </c>
      <c r="Z11" s="29" t="s">
        <v>43</v>
      </c>
      <c r="AA11" s="29" t="s">
        <v>56</v>
      </c>
      <c r="AB11" s="29" t="s">
        <v>56</v>
      </c>
      <c r="AC11" s="29" t="s">
        <v>56</v>
      </c>
      <c r="AD11" s="29" t="s">
        <v>56</v>
      </c>
      <c r="AE11" s="29" t="s">
        <v>56</v>
      </c>
      <c r="AF11" s="29" t="s">
        <v>56</v>
      </c>
      <c r="AG11" s="29" t="s">
        <v>56</v>
      </c>
      <c r="AH11" s="29" t="s">
        <v>56</v>
      </c>
      <c r="AI11" s="29" t="s">
        <v>56</v>
      </c>
      <c r="AJ11" s="29" t="s">
        <v>56</v>
      </c>
      <c r="AK11" s="29" t="s">
        <v>56</v>
      </c>
      <c r="AL11" s="29" t="s">
        <v>56</v>
      </c>
      <c r="AM11" s="29" t="s">
        <v>56</v>
      </c>
      <c r="AN11" s="29" t="s">
        <v>43</v>
      </c>
      <c r="AO11" s="29" t="s">
        <v>43</v>
      </c>
      <c r="AP11" s="29" t="s">
        <v>43</v>
      </c>
      <c r="AQ11" s="29" t="s">
        <v>43</v>
      </c>
      <c r="AR11" s="29" t="s">
        <v>43</v>
      </c>
      <c r="AS11" s="29" t="s">
        <v>56</v>
      </c>
      <c r="AT11" s="29" t="s">
        <v>56</v>
      </c>
      <c r="AU11" s="29" t="s">
        <v>56</v>
      </c>
      <c r="AV11" s="29" t="s">
        <v>56</v>
      </c>
      <c r="AW11" s="29" t="s">
        <v>56</v>
      </c>
      <c r="AX11" s="29" t="s">
        <v>56</v>
      </c>
      <c r="AY11" s="29" t="s">
        <v>56</v>
      </c>
      <c r="AZ11" s="29" t="s">
        <v>56</v>
      </c>
      <c r="BA11" s="29" t="s">
        <v>56</v>
      </c>
      <c r="BB11" s="29" t="s">
        <v>56</v>
      </c>
      <c r="BC11" s="29" t="s">
        <v>56</v>
      </c>
      <c r="BD11" s="29" t="s">
        <v>56</v>
      </c>
      <c r="BE11" s="29" t="s">
        <v>56</v>
      </c>
      <c r="BF11" s="29" t="s">
        <v>56</v>
      </c>
      <c r="BG11" s="29" t="s">
        <v>56</v>
      </c>
      <c r="BH11" s="29" t="s">
        <v>56</v>
      </c>
      <c r="BI11" s="29" t="s">
        <v>56</v>
      </c>
      <c r="BJ11" s="29" t="s">
        <v>56</v>
      </c>
      <c r="BK11" s="29" t="s">
        <v>56</v>
      </c>
      <c r="BL11" s="29" t="s">
        <v>56</v>
      </c>
      <c r="BM11" s="29" t="s">
        <v>56</v>
      </c>
      <c r="BN11" s="29" t="s">
        <v>56</v>
      </c>
      <c r="BO11" s="29" t="s">
        <v>56</v>
      </c>
      <c r="BP11" s="29" t="s">
        <v>56</v>
      </c>
      <c r="BQ11" s="29" t="s">
        <v>56</v>
      </c>
      <c r="BR11" s="29" t="s">
        <v>56</v>
      </c>
      <c r="BS11" s="29" t="s">
        <v>56</v>
      </c>
      <c r="BT11" s="29" t="s">
        <v>56</v>
      </c>
      <c r="BU11" s="29" t="s">
        <v>56</v>
      </c>
      <c r="BV11" s="69" t="s">
        <v>56</v>
      </c>
      <c r="BW11" s="69" t="s">
        <v>56</v>
      </c>
      <c r="BX11" s="69" t="s">
        <v>56</v>
      </c>
      <c r="BY11" s="69" t="s">
        <v>56</v>
      </c>
      <c r="BZ11" s="69" t="s">
        <v>56</v>
      </c>
      <c r="CA11" s="69" t="s">
        <v>56</v>
      </c>
      <c r="CB11" s="69" t="s">
        <v>56</v>
      </c>
      <c r="CC11" s="69" t="s">
        <v>56</v>
      </c>
      <c r="CD11" s="69" t="s">
        <v>56</v>
      </c>
      <c r="CE11" s="69" t="s">
        <v>56</v>
      </c>
      <c r="CF11" s="69" t="s">
        <v>56</v>
      </c>
      <c r="CG11" s="69" t="s">
        <v>56</v>
      </c>
      <c r="CH11" s="69" t="s">
        <v>56</v>
      </c>
      <c r="CI11" s="69" t="s">
        <v>56</v>
      </c>
      <c r="CJ11" s="69" t="s">
        <v>56</v>
      </c>
      <c r="CK11" s="69" t="s">
        <v>56</v>
      </c>
      <c r="CL11" s="69" t="s">
        <v>56</v>
      </c>
      <c r="CM11" s="29" t="s">
        <v>56</v>
      </c>
      <c r="CN11" s="29" t="s">
        <v>56</v>
      </c>
      <c r="CO11" s="29" t="s">
        <v>56</v>
      </c>
      <c r="CP11" s="29" t="s">
        <v>56</v>
      </c>
      <c r="CQ11" s="29" t="s">
        <v>56</v>
      </c>
      <c r="CR11" s="29" t="s">
        <v>56</v>
      </c>
      <c r="CS11" s="29" t="s">
        <v>56</v>
      </c>
      <c r="CT11" s="68" t="s">
        <v>56</v>
      </c>
      <c r="CU11" s="29" t="s">
        <v>56</v>
      </c>
      <c r="CV11" s="29" t="s">
        <v>56</v>
      </c>
      <c r="CW11" s="29" t="s">
        <v>56</v>
      </c>
      <c r="CX11" s="29" t="s">
        <v>56</v>
      </c>
      <c r="CY11" s="29" t="s">
        <v>56</v>
      </c>
      <c r="CZ11" s="29" t="s">
        <v>56</v>
      </c>
      <c r="DA11" s="29" t="s">
        <v>56</v>
      </c>
      <c r="DB11" s="29" t="s">
        <v>56</v>
      </c>
      <c r="DC11" s="29" t="s">
        <v>56</v>
      </c>
      <c r="DD11" s="29" t="s">
        <v>56</v>
      </c>
      <c r="DE11" s="29" t="s">
        <v>56</v>
      </c>
      <c r="DF11" s="29" t="s">
        <v>56</v>
      </c>
      <c r="DG11" s="29" t="s">
        <v>56</v>
      </c>
      <c r="DH11" s="29" t="s">
        <v>56</v>
      </c>
      <c r="DI11" s="29" t="s">
        <v>56</v>
      </c>
      <c r="DJ11" s="29" t="s">
        <v>56</v>
      </c>
      <c r="DK11" s="29" t="s">
        <v>56</v>
      </c>
      <c r="DL11" s="29" t="s">
        <v>56</v>
      </c>
      <c r="DM11" s="29" t="s">
        <v>56</v>
      </c>
      <c r="DN11" s="29" t="s">
        <v>56</v>
      </c>
      <c r="DO11" s="29" t="s">
        <v>56</v>
      </c>
      <c r="DP11" s="29" t="s">
        <v>56</v>
      </c>
      <c r="DQ11" s="29" t="s">
        <v>56</v>
      </c>
      <c r="DR11" s="29" t="s">
        <v>56</v>
      </c>
      <c r="DS11" s="29" t="s">
        <v>56</v>
      </c>
      <c r="DT11" s="29" t="s">
        <v>56</v>
      </c>
      <c r="DU11" s="29" t="s">
        <v>56</v>
      </c>
      <c r="DV11" s="29" t="s">
        <v>56</v>
      </c>
      <c r="DW11" s="29" t="s">
        <v>56</v>
      </c>
    </row>
    <row r="12" spans="1:128" s="25" customFormat="1" ht="24.6" customHeight="1">
      <c r="A12" s="25">
        <v>9</v>
      </c>
      <c r="B12" s="25" t="s">
        <v>102</v>
      </c>
      <c r="C12" s="45">
        <v>698252640</v>
      </c>
      <c r="D12" s="25" t="s">
        <v>103</v>
      </c>
      <c r="E12" s="70" t="s">
        <v>275</v>
      </c>
      <c r="F12" s="70" t="s">
        <v>274</v>
      </c>
      <c r="G12" s="25">
        <v>14</v>
      </c>
      <c r="H12" s="25" t="s">
        <v>105</v>
      </c>
      <c r="I12" s="25" t="s">
        <v>56</v>
      </c>
      <c r="J12" s="26">
        <v>4000000</v>
      </c>
      <c r="K12" s="25" t="s">
        <v>101</v>
      </c>
      <c r="L12" s="25" t="s">
        <v>104</v>
      </c>
      <c r="M12" s="25">
        <v>7</v>
      </c>
      <c r="N12" s="25" t="s">
        <v>43</v>
      </c>
      <c r="O12" s="25" t="s">
        <v>56</v>
      </c>
      <c r="P12" s="25" t="s">
        <v>56</v>
      </c>
      <c r="Q12" s="25" t="s">
        <v>56</v>
      </c>
      <c r="R12" s="25" t="s">
        <v>56</v>
      </c>
      <c r="S12" s="25" t="s">
        <v>56</v>
      </c>
      <c r="T12" s="25" t="s">
        <v>56</v>
      </c>
      <c r="U12" s="25" t="s">
        <v>56</v>
      </c>
      <c r="V12" s="25" t="s">
        <v>56</v>
      </c>
      <c r="W12" s="25" t="s">
        <v>56</v>
      </c>
      <c r="X12" s="25" t="s">
        <v>56</v>
      </c>
      <c r="Y12" s="25" t="s">
        <v>56</v>
      </c>
      <c r="Z12" s="25" t="s">
        <v>56</v>
      </c>
      <c r="AA12" s="25" t="s">
        <v>56</v>
      </c>
      <c r="AB12" s="25" t="s">
        <v>56</v>
      </c>
      <c r="AC12" s="25" t="s">
        <v>56</v>
      </c>
      <c r="AD12" s="25" t="s">
        <v>56</v>
      </c>
      <c r="AE12" s="25" t="s">
        <v>56</v>
      </c>
      <c r="AF12" s="25" t="s">
        <v>56</v>
      </c>
      <c r="AG12" s="25" t="s">
        <v>56</v>
      </c>
      <c r="AH12" s="25" t="s">
        <v>56</v>
      </c>
      <c r="AI12" s="25" t="s">
        <v>56</v>
      </c>
      <c r="AJ12" s="25" t="s">
        <v>56</v>
      </c>
      <c r="AK12" s="25" t="s">
        <v>56</v>
      </c>
      <c r="AL12" s="25" t="s">
        <v>56</v>
      </c>
      <c r="AM12" s="25" t="s">
        <v>56</v>
      </c>
      <c r="AN12" s="25" t="s">
        <v>56</v>
      </c>
      <c r="AO12" s="25" t="s">
        <v>56</v>
      </c>
      <c r="AP12" s="25" t="s">
        <v>56</v>
      </c>
      <c r="AQ12" s="25" t="s">
        <v>56</v>
      </c>
      <c r="AR12" s="25" t="s">
        <v>56</v>
      </c>
      <c r="AS12" s="25" t="s">
        <v>56</v>
      </c>
      <c r="AT12" s="25" t="s">
        <v>56</v>
      </c>
      <c r="AU12" s="25" t="s">
        <v>56</v>
      </c>
      <c r="AV12" s="25" t="s">
        <v>56</v>
      </c>
      <c r="AW12" s="25" t="s">
        <v>56</v>
      </c>
      <c r="AX12" s="25" t="s">
        <v>56</v>
      </c>
      <c r="AY12" s="25" t="s">
        <v>56</v>
      </c>
      <c r="AZ12" s="25" t="s">
        <v>56</v>
      </c>
      <c r="BA12" s="25" t="s">
        <v>56</v>
      </c>
      <c r="BB12" s="25" t="s">
        <v>56</v>
      </c>
      <c r="BC12" s="25" t="s">
        <v>56</v>
      </c>
      <c r="BD12" s="25" t="s">
        <v>56</v>
      </c>
      <c r="BE12" s="25" t="s">
        <v>56</v>
      </c>
      <c r="BF12" s="25" t="s">
        <v>56</v>
      </c>
      <c r="BG12" s="25" t="s">
        <v>56</v>
      </c>
      <c r="BH12" s="25" t="s">
        <v>56</v>
      </c>
      <c r="BI12" s="25" t="s">
        <v>56</v>
      </c>
      <c r="BJ12" s="25" t="s">
        <v>56</v>
      </c>
      <c r="BK12" s="25" t="s">
        <v>56</v>
      </c>
      <c r="BL12" s="25" t="s">
        <v>56</v>
      </c>
      <c r="BM12" s="25" t="s">
        <v>56</v>
      </c>
      <c r="BN12" s="25" t="s">
        <v>56</v>
      </c>
      <c r="BO12" s="25" t="s">
        <v>56</v>
      </c>
      <c r="BP12" s="25" t="s">
        <v>56</v>
      </c>
      <c r="BQ12" s="25" t="s">
        <v>56</v>
      </c>
      <c r="BR12" s="25" t="s">
        <v>56</v>
      </c>
      <c r="BS12" s="25" t="s">
        <v>56</v>
      </c>
      <c r="BT12" s="25" t="s">
        <v>56</v>
      </c>
      <c r="BU12" s="25" t="s">
        <v>56</v>
      </c>
      <c r="BV12" s="12" t="s">
        <v>56</v>
      </c>
      <c r="BW12" s="12" t="s">
        <v>56</v>
      </c>
      <c r="BX12" s="12" t="s">
        <v>56</v>
      </c>
      <c r="BY12" s="12" t="s">
        <v>56</v>
      </c>
      <c r="BZ12" s="12" t="s">
        <v>56</v>
      </c>
      <c r="CA12" s="12" t="s">
        <v>56</v>
      </c>
      <c r="CB12" s="12" t="s">
        <v>56</v>
      </c>
      <c r="CC12" s="12" t="s">
        <v>56</v>
      </c>
      <c r="CD12" s="12" t="s">
        <v>56</v>
      </c>
      <c r="CE12" s="12" t="s">
        <v>56</v>
      </c>
      <c r="CF12" s="12" t="s">
        <v>56</v>
      </c>
      <c r="CG12" s="12" t="s">
        <v>56</v>
      </c>
      <c r="CH12" s="12" t="s">
        <v>56</v>
      </c>
      <c r="CI12" s="12" t="s">
        <v>56</v>
      </c>
      <c r="CJ12" s="12" t="s">
        <v>56</v>
      </c>
      <c r="CK12" s="12" t="s">
        <v>56</v>
      </c>
      <c r="CL12" s="12" t="s">
        <v>56</v>
      </c>
      <c r="CM12" s="25" t="s">
        <v>56</v>
      </c>
      <c r="CN12" s="25" t="s">
        <v>43</v>
      </c>
      <c r="CO12" s="25" t="s">
        <v>43</v>
      </c>
      <c r="CP12" s="25" t="s">
        <v>43</v>
      </c>
      <c r="CQ12" s="25" t="s">
        <v>43</v>
      </c>
      <c r="CR12" s="25" t="s">
        <v>43</v>
      </c>
      <c r="CS12" s="25" t="s">
        <v>56</v>
      </c>
      <c r="CT12" s="3" t="s">
        <v>43</v>
      </c>
      <c r="CU12" s="25" t="s">
        <v>43</v>
      </c>
      <c r="CV12" s="25" t="s">
        <v>43</v>
      </c>
      <c r="CW12" s="25" t="s">
        <v>43</v>
      </c>
      <c r="CX12" s="25" t="s">
        <v>43</v>
      </c>
      <c r="CY12" s="25" t="s">
        <v>43</v>
      </c>
      <c r="CZ12" s="25" t="s">
        <v>43</v>
      </c>
      <c r="DA12" s="25" t="s">
        <v>43</v>
      </c>
      <c r="DB12" s="25" t="s">
        <v>43</v>
      </c>
      <c r="DC12" s="25" t="s">
        <v>43</v>
      </c>
      <c r="DD12" s="25" t="s">
        <v>43</v>
      </c>
      <c r="DE12" s="25" t="s">
        <v>43</v>
      </c>
      <c r="DF12" s="25" t="s">
        <v>56</v>
      </c>
      <c r="DG12" s="25" t="s">
        <v>56</v>
      </c>
      <c r="DH12" s="25" t="s">
        <v>56</v>
      </c>
      <c r="DI12" s="25" t="s">
        <v>56</v>
      </c>
      <c r="DJ12" s="25" t="s">
        <v>56</v>
      </c>
      <c r="DK12" s="25" t="s">
        <v>56</v>
      </c>
      <c r="DL12" s="25" t="s">
        <v>56</v>
      </c>
      <c r="DM12" s="25" t="s">
        <v>56</v>
      </c>
      <c r="DN12" s="25" t="s">
        <v>56</v>
      </c>
      <c r="DO12" s="25" t="s">
        <v>56</v>
      </c>
      <c r="DP12" s="25" t="s">
        <v>56</v>
      </c>
      <c r="DQ12" s="25" t="s">
        <v>56</v>
      </c>
      <c r="DR12" s="25" t="s">
        <v>56</v>
      </c>
      <c r="DS12" s="25" t="s">
        <v>56</v>
      </c>
      <c r="DT12" s="25" t="s">
        <v>56</v>
      </c>
      <c r="DU12" s="25" t="s">
        <v>56</v>
      </c>
      <c r="DV12" s="25" t="s">
        <v>56</v>
      </c>
      <c r="DW12" s="25" t="s">
        <v>56</v>
      </c>
      <c r="DX12" s="25" t="s">
        <v>36</v>
      </c>
    </row>
    <row r="13" spans="1:128" s="25" customFormat="1" ht="24.6" customHeight="1">
      <c r="A13" s="25">
        <v>10</v>
      </c>
      <c r="B13" s="25" t="s">
        <v>106</v>
      </c>
      <c r="C13" s="45">
        <v>696676662</v>
      </c>
      <c r="D13" s="25" t="s">
        <v>103</v>
      </c>
      <c r="E13" s="70" t="s">
        <v>275</v>
      </c>
      <c r="F13" s="70" t="s">
        <v>274</v>
      </c>
      <c r="G13" s="25">
        <v>33</v>
      </c>
      <c r="H13" s="25" t="s">
        <v>109</v>
      </c>
      <c r="I13" s="25" t="s">
        <v>56</v>
      </c>
      <c r="J13" s="26">
        <v>45000000</v>
      </c>
      <c r="K13" s="25" t="s">
        <v>101</v>
      </c>
      <c r="L13" s="25" t="s">
        <v>108</v>
      </c>
      <c r="M13" s="25">
        <v>11</v>
      </c>
      <c r="N13" s="25" t="s">
        <v>43</v>
      </c>
      <c r="O13" s="25" t="s">
        <v>56</v>
      </c>
      <c r="P13" s="25" t="s">
        <v>56</v>
      </c>
      <c r="Q13" s="25" t="s">
        <v>56</v>
      </c>
      <c r="R13" s="25" t="s">
        <v>56</v>
      </c>
      <c r="S13" s="25" t="s">
        <v>56</v>
      </c>
      <c r="T13" s="25" t="s">
        <v>56</v>
      </c>
      <c r="U13" s="25" t="s">
        <v>56</v>
      </c>
      <c r="V13" s="25" t="s">
        <v>56</v>
      </c>
      <c r="W13" s="25" t="s">
        <v>56</v>
      </c>
      <c r="X13" s="25" t="s">
        <v>56</v>
      </c>
      <c r="Y13" s="25" t="s">
        <v>56</v>
      </c>
      <c r="Z13" s="25" t="s">
        <v>56</v>
      </c>
      <c r="AA13" s="25" t="s">
        <v>56</v>
      </c>
      <c r="AB13" s="25" t="s">
        <v>56</v>
      </c>
      <c r="AC13" s="25" t="s">
        <v>56</v>
      </c>
      <c r="AD13" s="25" t="s">
        <v>56</v>
      </c>
      <c r="AE13" s="25" t="s">
        <v>56</v>
      </c>
      <c r="AF13" s="25" t="s">
        <v>56</v>
      </c>
      <c r="AG13" s="25" t="s">
        <v>56</v>
      </c>
      <c r="AH13" s="25" t="s">
        <v>56</v>
      </c>
      <c r="AI13" s="25" t="s">
        <v>56</v>
      </c>
      <c r="AJ13" s="25" t="s">
        <v>56</v>
      </c>
      <c r="AK13" s="25" t="s">
        <v>56</v>
      </c>
      <c r="AL13" s="25" t="s">
        <v>43</v>
      </c>
      <c r="AM13" s="25" t="s">
        <v>43</v>
      </c>
      <c r="AN13" s="25" t="s">
        <v>56</v>
      </c>
      <c r="AO13" s="25" t="s">
        <v>56</v>
      </c>
      <c r="AP13" s="25" t="s">
        <v>43</v>
      </c>
      <c r="AQ13" s="25" t="s">
        <v>43</v>
      </c>
      <c r="AR13" s="25" t="s">
        <v>56</v>
      </c>
      <c r="AS13" s="25" t="s">
        <v>56</v>
      </c>
      <c r="AT13" s="25" t="s">
        <v>56</v>
      </c>
      <c r="AU13" s="25" t="s">
        <v>56</v>
      </c>
      <c r="AV13" s="25" t="s">
        <v>56</v>
      </c>
      <c r="AW13" s="25" t="s">
        <v>43</v>
      </c>
      <c r="AX13" s="25" t="s">
        <v>56</v>
      </c>
      <c r="AY13" s="25" t="s">
        <v>56</v>
      </c>
      <c r="AZ13" s="25" t="s">
        <v>56</v>
      </c>
      <c r="BA13" s="25" t="s">
        <v>56</v>
      </c>
      <c r="BB13" s="25" t="s">
        <v>43</v>
      </c>
      <c r="BC13" s="25" t="s">
        <v>43</v>
      </c>
      <c r="BD13" s="25" t="s">
        <v>56</v>
      </c>
      <c r="BE13" s="25" t="s">
        <v>56</v>
      </c>
      <c r="BF13" s="25" t="s">
        <v>56</v>
      </c>
      <c r="BG13" s="25" t="s">
        <v>56</v>
      </c>
      <c r="BH13" s="25" t="s">
        <v>56</v>
      </c>
      <c r="BI13" s="25" t="s">
        <v>56</v>
      </c>
      <c r="BJ13" s="25" t="s">
        <v>56</v>
      </c>
      <c r="BK13" s="25" t="s">
        <v>56</v>
      </c>
      <c r="BL13" s="25" t="s">
        <v>56</v>
      </c>
      <c r="BM13" s="25" t="s">
        <v>56</v>
      </c>
      <c r="BN13" s="25" t="s">
        <v>56</v>
      </c>
      <c r="BO13" s="25" t="s">
        <v>56</v>
      </c>
      <c r="BP13" s="25" t="s">
        <v>56</v>
      </c>
      <c r="BQ13" s="25" t="s">
        <v>56</v>
      </c>
      <c r="BR13" s="25" t="s">
        <v>56</v>
      </c>
      <c r="BS13" s="25" t="s">
        <v>56</v>
      </c>
      <c r="BT13" s="25" t="s">
        <v>56</v>
      </c>
      <c r="BU13" s="25" t="s">
        <v>56</v>
      </c>
      <c r="BV13" s="12" t="s">
        <v>56</v>
      </c>
      <c r="BW13" s="12" t="s">
        <v>56</v>
      </c>
      <c r="BX13" s="12" t="s">
        <v>56</v>
      </c>
      <c r="BY13" s="12" t="s">
        <v>56</v>
      </c>
      <c r="BZ13" s="12" t="s">
        <v>56</v>
      </c>
      <c r="CA13" s="12" t="s">
        <v>56</v>
      </c>
      <c r="CB13" s="12" t="s">
        <v>56</v>
      </c>
      <c r="CC13" s="12" t="s">
        <v>56</v>
      </c>
      <c r="CD13" s="12" t="s">
        <v>56</v>
      </c>
      <c r="CE13" s="12" t="s">
        <v>56</v>
      </c>
      <c r="CF13" s="12" t="s">
        <v>56</v>
      </c>
      <c r="CG13" s="12" t="s">
        <v>56</v>
      </c>
      <c r="CH13" s="12" t="s">
        <v>56</v>
      </c>
      <c r="CI13" s="12" t="s">
        <v>56</v>
      </c>
      <c r="CJ13" s="12" t="s">
        <v>56</v>
      </c>
      <c r="CK13" s="12" t="s">
        <v>56</v>
      </c>
      <c r="CL13" s="12" t="s">
        <v>56</v>
      </c>
      <c r="CM13" s="25" t="s">
        <v>56</v>
      </c>
      <c r="CN13" s="25" t="s">
        <v>56</v>
      </c>
      <c r="CO13" s="25" t="s">
        <v>56</v>
      </c>
      <c r="CP13" s="25" t="s">
        <v>56</v>
      </c>
      <c r="CQ13" s="25" t="s">
        <v>56</v>
      </c>
      <c r="CR13" s="25" t="s">
        <v>56</v>
      </c>
      <c r="CS13" s="25" t="s">
        <v>56</v>
      </c>
      <c r="CT13" s="3" t="s">
        <v>56</v>
      </c>
      <c r="CU13" s="25" t="s">
        <v>56</v>
      </c>
      <c r="CV13" s="25" t="s">
        <v>56</v>
      </c>
      <c r="CW13" s="25" t="s">
        <v>56</v>
      </c>
      <c r="CX13" s="25" t="s">
        <v>56</v>
      </c>
      <c r="CY13" s="25" t="s">
        <v>56</v>
      </c>
      <c r="CZ13" s="25" t="s">
        <v>56</v>
      </c>
      <c r="DA13" s="25" t="s">
        <v>56</v>
      </c>
      <c r="DB13" s="25" t="s">
        <v>56</v>
      </c>
      <c r="DC13" s="25" t="s">
        <v>56</v>
      </c>
      <c r="DD13" s="25" t="s">
        <v>56</v>
      </c>
      <c r="DE13" s="25" t="s">
        <v>56</v>
      </c>
      <c r="DF13" s="25" t="s">
        <v>56</v>
      </c>
      <c r="DG13" s="25" t="s">
        <v>56</v>
      </c>
      <c r="DH13" s="25" t="s">
        <v>56</v>
      </c>
      <c r="DI13" s="25" t="s">
        <v>56</v>
      </c>
      <c r="DJ13" s="25" t="s">
        <v>56</v>
      </c>
      <c r="DK13" s="25" t="s">
        <v>56</v>
      </c>
      <c r="DL13" s="25" t="s">
        <v>56</v>
      </c>
      <c r="DM13" s="25" t="s">
        <v>56</v>
      </c>
      <c r="DN13" s="25" t="s">
        <v>56</v>
      </c>
      <c r="DO13" s="25" t="s">
        <v>56</v>
      </c>
      <c r="DP13" s="25" t="s">
        <v>56</v>
      </c>
      <c r="DQ13" s="25" t="s">
        <v>56</v>
      </c>
      <c r="DR13" s="25" t="s">
        <v>56</v>
      </c>
      <c r="DS13" s="25" t="s">
        <v>56</v>
      </c>
      <c r="DT13" s="25" t="s">
        <v>56</v>
      </c>
      <c r="DU13" s="25" t="s">
        <v>56</v>
      </c>
      <c r="DV13" s="25" t="s">
        <v>56</v>
      </c>
      <c r="DW13" s="25" t="s">
        <v>56</v>
      </c>
      <c r="DX13" s="25" t="s">
        <v>36</v>
      </c>
    </row>
    <row r="14" spans="1:128" s="25" customFormat="1" ht="24.6" customHeight="1">
      <c r="A14" s="25">
        <v>11</v>
      </c>
      <c r="B14" s="25" t="s">
        <v>107</v>
      </c>
      <c r="C14" s="45">
        <v>695245414</v>
      </c>
      <c r="D14" s="25" t="s">
        <v>111</v>
      </c>
      <c r="E14" s="70" t="s">
        <v>277</v>
      </c>
      <c r="F14" s="91" t="s">
        <v>276</v>
      </c>
      <c r="G14" s="25">
        <v>30</v>
      </c>
      <c r="H14" s="25" t="s">
        <v>112</v>
      </c>
      <c r="I14" s="25" t="s">
        <v>56</v>
      </c>
      <c r="J14" s="26">
        <v>50000000</v>
      </c>
      <c r="K14" s="25" t="s">
        <v>101</v>
      </c>
      <c r="L14" s="25" t="s">
        <v>110</v>
      </c>
      <c r="M14" s="25">
        <v>7</v>
      </c>
      <c r="N14" s="25" t="s">
        <v>43</v>
      </c>
      <c r="O14" s="25" t="s">
        <v>56</v>
      </c>
      <c r="P14" s="25" t="s">
        <v>56</v>
      </c>
      <c r="Q14" s="25" t="s">
        <v>56</v>
      </c>
      <c r="R14" s="25" t="s">
        <v>56</v>
      </c>
      <c r="S14" s="25" t="s">
        <v>56</v>
      </c>
      <c r="T14" s="25" t="s">
        <v>56</v>
      </c>
      <c r="U14" s="25" t="s">
        <v>56</v>
      </c>
      <c r="V14" s="25" t="s">
        <v>56</v>
      </c>
      <c r="W14" s="25" t="s">
        <v>56</v>
      </c>
      <c r="X14" s="25" t="s">
        <v>56</v>
      </c>
      <c r="Y14" s="25" t="s">
        <v>56</v>
      </c>
      <c r="Z14" s="25" t="s">
        <v>56</v>
      </c>
      <c r="AA14" s="25" t="s">
        <v>56</v>
      </c>
      <c r="AB14" s="25" t="s">
        <v>56</v>
      </c>
      <c r="AC14" s="25" t="s">
        <v>56</v>
      </c>
      <c r="AD14" s="25" t="s">
        <v>56</v>
      </c>
      <c r="AE14" s="25" t="s">
        <v>56</v>
      </c>
      <c r="AF14" s="25" t="s">
        <v>56</v>
      </c>
      <c r="AG14" s="25" t="s">
        <v>56</v>
      </c>
      <c r="AH14" s="25" t="s">
        <v>56</v>
      </c>
      <c r="AI14" s="25" t="s">
        <v>56</v>
      </c>
      <c r="AJ14" s="25" t="s">
        <v>56</v>
      </c>
      <c r="AK14" s="25" t="s">
        <v>56</v>
      </c>
      <c r="AL14" s="25" t="s">
        <v>43</v>
      </c>
      <c r="AM14" s="25" t="s">
        <v>43</v>
      </c>
      <c r="AN14" s="25" t="s">
        <v>43</v>
      </c>
      <c r="AO14" s="25" t="s">
        <v>43</v>
      </c>
      <c r="AP14" s="25" t="s">
        <v>43</v>
      </c>
      <c r="AQ14" s="25" t="s">
        <v>43</v>
      </c>
      <c r="AR14" s="25" t="s">
        <v>43</v>
      </c>
      <c r="AS14" s="25" t="s">
        <v>43</v>
      </c>
      <c r="AT14" s="25" t="s">
        <v>43</v>
      </c>
      <c r="AU14" s="25" t="s">
        <v>43</v>
      </c>
      <c r="AV14" s="25" t="s">
        <v>43</v>
      </c>
      <c r="AW14" s="25" t="s">
        <v>43</v>
      </c>
      <c r="AX14" s="25" t="s">
        <v>43</v>
      </c>
      <c r="AY14" s="25" t="s">
        <v>43</v>
      </c>
      <c r="AZ14" s="25" t="s">
        <v>43</v>
      </c>
      <c r="BA14" s="25" t="s">
        <v>43</v>
      </c>
      <c r="BB14" s="25" t="s">
        <v>43</v>
      </c>
      <c r="BC14" s="25" t="s">
        <v>43</v>
      </c>
      <c r="BD14" s="25" t="s">
        <v>56</v>
      </c>
      <c r="BE14" s="25" t="s">
        <v>56</v>
      </c>
      <c r="BF14" s="25" t="s">
        <v>56</v>
      </c>
      <c r="BG14" s="25" t="s">
        <v>56</v>
      </c>
      <c r="BH14" s="25" t="s">
        <v>56</v>
      </c>
      <c r="BI14" s="25" t="s">
        <v>56</v>
      </c>
      <c r="BJ14" s="25" t="s">
        <v>56</v>
      </c>
      <c r="BK14" s="25" t="s">
        <v>56</v>
      </c>
      <c r="BL14" s="25" t="s">
        <v>56</v>
      </c>
      <c r="BM14" s="25" t="s">
        <v>56</v>
      </c>
      <c r="BN14" s="25" t="s">
        <v>56</v>
      </c>
      <c r="BO14" s="25" t="s">
        <v>56</v>
      </c>
      <c r="BP14" s="25" t="s">
        <v>56</v>
      </c>
      <c r="BQ14" s="25" t="s">
        <v>56</v>
      </c>
      <c r="BR14" s="25" t="s">
        <v>56</v>
      </c>
      <c r="BS14" s="25" t="s">
        <v>56</v>
      </c>
      <c r="BT14" s="25" t="s">
        <v>56</v>
      </c>
      <c r="BU14" s="25" t="s">
        <v>56</v>
      </c>
      <c r="BV14" s="12" t="s">
        <v>56</v>
      </c>
      <c r="BW14" s="12" t="s">
        <v>56</v>
      </c>
      <c r="BX14" s="12" t="s">
        <v>56</v>
      </c>
      <c r="BY14" s="12" t="s">
        <v>56</v>
      </c>
      <c r="BZ14" s="12" t="s">
        <v>56</v>
      </c>
      <c r="CA14" s="12" t="s">
        <v>56</v>
      </c>
      <c r="CB14" s="12" t="s">
        <v>56</v>
      </c>
      <c r="CC14" s="12" t="s">
        <v>56</v>
      </c>
      <c r="CD14" s="12" t="s">
        <v>56</v>
      </c>
      <c r="CE14" s="12" t="s">
        <v>56</v>
      </c>
      <c r="CF14" s="12" t="s">
        <v>56</v>
      </c>
      <c r="CG14" s="12" t="s">
        <v>56</v>
      </c>
      <c r="CH14" s="12" t="s">
        <v>56</v>
      </c>
      <c r="CI14" s="12" t="s">
        <v>56</v>
      </c>
      <c r="CJ14" s="12" t="s">
        <v>56</v>
      </c>
      <c r="CK14" s="12" t="s">
        <v>56</v>
      </c>
      <c r="CL14" s="12" t="s">
        <v>56</v>
      </c>
      <c r="CM14" s="25" t="s">
        <v>56</v>
      </c>
      <c r="CN14" s="25" t="s">
        <v>56</v>
      </c>
      <c r="CO14" s="25" t="s">
        <v>56</v>
      </c>
      <c r="CP14" s="25" t="s">
        <v>56</v>
      </c>
      <c r="CQ14" s="25" t="s">
        <v>56</v>
      </c>
      <c r="CR14" s="25" t="s">
        <v>56</v>
      </c>
      <c r="CS14" s="25" t="s">
        <v>56</v>
      </c>
      <c r="CT14" s="3" t="s">
        <v>56</v>
      </c>
      <c r="CU14" s="25" t="s">
        <v>56</v>
      </c>
      <c r="CV14" s="25" t="s">
        <v>56</v>
      </c>
      <c r="CW14" s="25" t="s">
        <v>56</v>
      </c>
      <c r="CX14" s="25" t="s">
        <v>56</v>
      </c>
      <c r="CY14" s="25" t="s">
        <v>56</v>
      </c>
      <c r="CZ14" s="25" t="s">
        <v>56</v>
      </c>
      <c r="DA14" s="25" t="s">
        <v>56</v>
      </c>
      <c r="DB14" s="25" t="s">
        <v>56</v>
      </c>
      <c r="DC14" s="25" t="s">
        <v>56</v>
      </c>
      <c r="DD14" s="25" t="s">
        <v>56</v>
      </c>
      <c r="DE14" s="25" t="s">
        <v>56</v>
      </c>
      <c r="DF14" s="25" t="s">
        <v>56</v>
      </c>
      <c r="DG14" s="25" t="s">
        <v>56</v>
      </c>
      <c r="DH14" s="25" t="s">
        <v>56</v>
      </c>
      <c r="DI14" s="25" t="s">
        <v>56</v>
      </c>
      <c r="DJ14" s="25" t="s">
        <v>56</v>
      </c>
      <c r="DK14" s="25" t="s">
        <v>56</v>
      </c>
      <c r="DL14" s="25" t="s">
        <v>56</v>
      </c>
      <c r="DM14" s="25" t="s">
        <v>56</v>
      </c>
      <c r="DN14" s="25" t="s">
        <v>56</v>
      </c>
      <c r="DO14" s="25" t="s">
        <v>56</v>
      </c>
      <c r="DP14" s="25" t="s">
        <v>56</v>
      </c>
      <c r="DQ14" s="25" t="s">
        <v>56</v>
      </c>
      <c r="DR14" s="25" t="s">
        <v>56</v>
      </c>
      <c r="DS14" s="25" t="s">
        <v>56</v>
      </c>
      <c r="DT14" s="25" t="s">
        <v>56</v>
      </c>
      <c r="DU14" s="25" t="s">
        <v>56</v>
      </c>
      <c r="DV14" s="25" t="s">
        <v>56</v>
      </c>
      <c r="DW14" s="25" t="s">
        <v>56</v>
      </c>
      <c r="DX14" s="25" t="s">
        <v>36</v>
      </c>
    </row>
    <row r="15" spans="1:128" s="25" customFormat="1" ht="24.6" customHeight="1">
      <c r="A15" s="25">
        <v>12</v>
      </c>
      <c r="B15" s="25" t="s">
        <v>113</v>
      </c>
      <c r="C15" s="45">
        <v>69000012</v>
      </c>
      <c r="D15" s="25" t="s">
        <v>114</v>
      </c>
      <c r="E15" s="70" t="s">
        <v>277</v>
      </c>
      <c r="F15" s="70" t="s">
        <v>276</v>
      </c>
      <c r="G15" s="25">
        <v>53</v>
      </c>
      <c r="H15" s="25" t="s">
        <v>115</v>
      </c>
      <c r="I15" s="25" t="s">
        <v>56</v>
      </c>
      <c r="J15" s="26">
        <v>35000000</v>
      </c>
      <c r="K15" s="25" t="s">
        <v>101</v>
      </c>
      <c r="L15" s="25" t="s">
        <v>110</v>
      </c>
      <c r="M15" s="25">
        <v>15</v>
      </c>
      <c r="N15" s="25" t="s">
        <v>43</v>
      </c>
      <c r="O15" s="25" t="s">
        <v>56</v>
      </c>
      <c r="P15" s="25" t="s">
        <v>56</v>
      </c>
      <c r="Q15" s="25" t="s">
        <v>56</v>
      </c>
      <c r="R15" s="25" t="s">
        <v>56</v>
      </c>
      <c r="S15" s="25" t="s">
        <v>56</v>
      </c>
      <c r="T15" s="25" t="s">
        <v>56</v>
      </c>
      <c r="U15" s="25" t="s">
        <v>56</v>
      </c>
      <c r="V15" s="25" t="s">
        <v>56</v>
      </c>
      <c r="W15" s="25" t="s">
        <v>56</v>
      </c>
      <c r="X15" s="25" t="s">
        <v>56</v>
      </c>
      <c r="Y15" s="25" t="s">
        <v>56</v>
      </c>
      <c r="Z15" s="25" t="s">
        <v>56</v>
      </c>
      <c r="AA15" s="25" t="s">
        <v>56</v>
      </c>
      <c r="AB15" s="25" t="s">
        <v>56</v>
      </c>
      <c r="AC15" s="25" t="s">
        <v>56</v>
      </c>
      <c r="AD15" s="25" t="s">
        <v>56</v>
      </c>
      <c r="AE15" s="25" t="s">
        <v>56</v>
      </c>
      <c r="AF15" s="25" t="s">
        <v>56</v>
      </c>
      <c r="AG15" s="25" t="s">
        <v>56</v>
      </c>
      <c r="AH15" s="25" t="s">
        <v>56</v>
      </c>
      <c r="AI15" s="25" t="s">
        <v>56</v>
      </c>
      <c r="AJ15" s="25" t="s">
        <v>56</v>
      </c>
      <c r="AK15" s="25" t="s">
        <v>56</v>
      </c>
      <c r="AL15" s="25" t="s">
        <v>56</v>
      </c>
      <c r="AM15" s="25" t="s">
        <v>56</v>
      </c>
      <c r="AN15" s="25" t="s">
        <v>56</v>
      </c>
      <c r="AO15" s="25" t="s">
        <v>56</v>
      </c>
      <c r="AP15" s="25" t="s">
        <v>56</v>
      </c>
      <c r="AQ15" s="25" t="s">
        <v>56</v>
      </c>
      <c r="AR15" s="25" t="s">
        <v>56</v>
      </c>
      <c r="AS15" s="25" t="s">
        <v>56</v>
      </c>
      <c r="AT15" s="25" t="s">
        <v>56</v>
      </c>
      <c r="AU15" s="25" t="s">
        <v>56</v>
      </c>
      <c r="AV15" s="25" t="s">
        <v>56</v>
      </c>
      <c r="AW15" s="25" t="s">
        <v>56</v>
      </c>
      <c r="AX15" s="25" t="s">
        <v>56</v>
      </c>
      <c r="AY15" s="25" t="s">
        <v>56</v>
      </c>
      <c r="AZ15" s="25" t="s">
        <v>56</v>
      </c>
      <c r="BA15" s="25" t="s">
        <v>56</v>
      </c>
      <c r="BB15" s="25" t="s">
        <v>56</v>
      </c>
      <c r="BC15" s="25" t="s">
        <v>56</v>
      </c>
      <c r="BD15" s="25" t="s">
        <v>56</v>
      </c>
      <c r="BE15" s="25" t="s">
        <v>56</v>
      </c>
      <c r="BF15" s="25" t="s">
        <v>56</v>
      </c>
      <c r="BG15" s="25" t="s">
        <v>56</v>
      </c>
      <c r="BH15" s="25" t="s">
        <v>56</v>
      </c>
      <c r="BI15" s="25" t="s">
        <v>56</v>
      </c>
      <c r="BJ15" s="25" t="s">
        <v>56</v>
      </c>
      <c r="BK15" s="25" t="s">
        <v>56</v>
      </c>
      <c r="BL15" s="25" t="s">
        <v>56</v>
      </c>
      <c r="BM15" s="25" t="s">
        <v>56</v>
      </c>
      <c r="BN15" s="25" t="s">
        <v>56</v>
      </c>
      <c r="BO15" s="25" t="s">
        <v>56</v>
      </c>
      <c r="BP15" s="25" t="s">
        <v>56</v>
      </c>
      <c r="BQ15" s="25" t="s">
        <v>56</v>
      </c>
      <c r="BR15" s="25" t="s">
        <v>56</v>
      </c>
      <c r="BS15" s="25" t="s">
        <v>56</v>
      </c>
      <c r="BT15" s="25" t="s">
        <v>56</v>
      </c>
      <c r="BU15" s="25" t="s">
        <v>56</v>
      </c>
      <c r="BV15" s="12" t="s">
        <v>56</v>
      </c>
      <c r="BW15" s="12" t="s">
        <v>56</v>
      </c>
      <c r="BX15" s="12" t="s">
        <v>56</v>
      </c>
      <c r="BY15" s="12" t="s">
        <v>56</v>
      </c>
      <c r="BZ15" s="12" t="s">
        <v>56</v>
      </c>
      <c r="CA15" s="12" t="s">
        <v>56</v>
      </c>
      <c r="CB15" s="12" t="s">
        <v>56</v>
      </c>
      <c r="CC15" s="12" t="s">
        <v>56</v>
      </c>
      <c r="CD15" s="12" t="s">
        <v>56</v>
      </c>
      <c r="CE15" s="12" t="s">
        <v>56</v>
      </c>
      <c r="CF15" s="12" t="s">
        <v>56</v>
      </c>
      <c r="CG15" s="12" t="s">
        <v>56</v>
      </c>
      <c r="CH15" s="12" t="s">
        <v>56</v>
      </c>
      <c r="CI15" s="12" t="s">
        <v>56</v>
      </c>
      <c r="CJ15" s="12" t="s">
        <v>56</v>
      </c>
      <c r="CK15" s="12" t="s">
        <v>56</v>
      </c>
      <c r="CL15" s="12" t="s">
        <v>56</v>
      </c>
      <c r="CM15" s="25" t="s">
        <v>56</v>
      </c>
      <c r="CN15" s="25" t="s">
        <v>56</v>
      </c>
      <c r="CO15" s="25" t="s">
        <v>56</v>
      </c>
      <c r="CP15" s="25" t="s">
        <v>56</v>
      </c>
      <c r="CQ15" s="25" t="s">
        <v>56</v>
      </c>
      <c r="CR15" s="25" t="s">
        <v>56</v>
      </c>
      <c r="CS15" s="25" t="s">
        <v>56</v>
      </c>
      <c r="CT15" s="3" t="s">
        <v>56</v>
      </c>
      <c r="CU15" s="25" t="s">
        <v>56</v>
      </c>
      <c r="CV15" s="25" t="s">
        <v>56</v>
      </c>
      <c r="CW15" s="25" t="s">
        <v>56</v>
      </c>
      <c r="CX15" s="25" t="s">
        <v>56</v>
      </c>
      <c r="CY15" s="25" t="s">
        <v>56</v>
      </c>
      <c r="CZ15" s="25" t="s">
        <v>56</v>
      </c>
      <c r="DA15" s="25" t="s">
        <v>56</v>
      </c>
      <c r="DB15" s="25" t="s">
        <v>56</v>
      </c>
      <c r="DC15" s="25" t="s">
        <v>56</v>
      </c>
      <c r="DD15" s="25" t="s">
        <v>56</v>
      </c>
      <c r="DE15" s="25" t="s">
        <v>56</v>
      </c>
      <c r="DF15" s="25" t="s">
        <v>43</v>
      </c>
      <c r="DG15" s="25" t="s">
        <v>43</v>
      </c>
      <c r="DH15" s="25" t="s">
        <v>43</v>
      </c>
      <c r="DI15" s="25" t="s">
        <v>43</v>
      </c>
      <c r="DJ15" s="25" t="s">
        <v>43</v>
      </c>
      <c r="DK15" s="25" t="s">
        <v>43</v>
      </c>
      <c r="DL15" s="25" t="s">
        <v>43</v>
      </c>
      <c r="DM15" s="25" t="s">
        <v>43</v>
      </c>
      <c r="DN15" s="25" t="s">
        <v>43</v>
      </c>
      <c r="DO15" s="25" t="s">
        <v>43</v>
      </c>
      <c r="DP15" s="25" t="s">
        <v>43</v>
      </c>
      <c r="DQ15" s="25" t="s">
        <v>43</v>
      </c>
      <c r="DR15" s="25" t="s">
        <v>43</v>
      </c>
      <c r="DS15" s="25" t="s">
        <v>43</v>
      </c>
      <c r="DT15" s="25" t="s">
        <v>43</v>
      </c>
      <c r="DU15" s="25" t="s">
        <v>43</v>
      </c>
      <c r="DV15" s="25" t="s">
        <v>43</v>
      </c>
      <c r="DW15" s="25" t="s">
        <v>43</v>
      </c>
      <c r="DX15" s="25" t="s">
        <v>36</v>
      </c>
    </row>
    <row r="16" spans="1:128" s="25" customFormat="1" ht="24.6" customHeight="1">
      <c r="A16" s="25">
        <v>13</v>
      </c>
      <c r="B16" s="25" t="s">
        <v>116</v>
      </c>
      <c r="C16" s="45">
        <v>691027853</v>
      </c>
      <c r="D16" s="25" t="s">
        <v>117</v>
      </c>
      <c r="E16" s="70" t="s">
        <v>279</v>
      </c>
      <c r="F16" s="70" t="s">
        <v>278</v>
      </c>
      <c r="G16" s="25">
        <v>2</v>
      </c>
      <c r="H16" s="25" t="s">
        <v>118</v>
      </c>
      <c r="I16" s="25" t="s">
        <v>56</v>
      </c>
      <c r="J16" s="26">
        <v>36400000</v>
      </c>
      <c r="K16" s="25" t="s">
        <v>74</v>
      </c>
      <c r="L16" s="25" t="s">
        <v>119</v>
      </c>
      <c r="M16" s="25">
        <v>3</v>
      </c>
      <c r="N16" s="25" t="s">
        <v>43</v>
      </c>
      <c r="O16" s="25" t="s">
        <v>56</v>
      </c>
      <c r="P16" s="25" t="s">
        <v>43</v>
      </c>
      <c r="Q16" s="25" t="s">
        <v>56</v>
      </c>
      <c r="R16" s="25" t="s">
        <v>56</v>
      </c>
      <c r="S16" s="25" t="s">
        <v>56</v>
      </c>
      <c r="T16" s="25" t="s">
        <v>56</v>
      </c>
      <c r="U16" s="25" t="s">
        <v>56</v>
      </c>
      <c r="V16" s="25" t="s">
        <v>43</v>
      </c>
      <c r="W16" s="25" t="s">
        <v>43</v>
      </c>
      <c r="X16" s="25" t="s">
        <v>43</v>
      </c>
      <c r="Y16" s="25" t="s">
        <v>56</v>
      </c>
      <c r="Z16" s="25" t="s">
        <v>56</v>
      </c>
      <c r="AA16" s="25" t="s">
        <v>56</v>
      </c>
      <c r="AB16" s="25" t="s">
        <v>56</v>
      </c>
      <c r="AC16" s="25" t="s">
        <v>56</v>
      </c>
      <c r="AD16" s="25" t="s">
        <v>56</v>
      </c>
      <c r="AE16" s="25" t="s">
        <v>43</v>
      </c>
      <c r="AF16" s="25" t="s">
        <v>43</v>
      </c>
      <c r="AG16" s="25" t="s">
        <v>43</v>
      </c>
      <c r="AH16" s="25" t="s">
        <v>56</v>
      </c>
      <c r="AI16" s="25" t="s">
        <v>43</v>
      </c>
      <c r="AJ16" s="25" t="s">
        <v>43</v>
      </c>
      <c r="AK16" s="25" t="s">
        <v>43</v>
      </c>
      <c r="AL16" s="25" t="s">
        <v>43</v>
      </c>
      <c r="AM16" s="25" t="s">
        <v>43</v>
      </c>
      <c r="AN16" s="25" t="s">
        <v>43</v>
      </c>
      <c r="AO16" s="25" t="s">
        <v>56</v>
      </c>
      <c r="AP16" s="25" t="s">
        <v>56</v>
      </c>
      <c r="AQ16" s="25" t="s">
        <v>43</v>
      </c>
      <c r="AR16" s="25" t="s">
        <v>43</v>
      </c>
      <c r="AS16" s="25" t="s">
        <v>56</v>
      </c>
      <c r="AT16" s="25" t="s">
        <v>56</v>
      </c>
      <c r="AU16" s="25" t="s">
        <v>56</v>
      </c>
      <c r="AV16" s="25" t="s">
        <v>56</v>
      </c>
      <c r="AW16" s="25" t="s">
        <v>43</v>
      </c>
      <c r="AX16" s="25" t="s">
        <v>43</v>
      </c>
      <c r="AY16" s="25" t="s">
        <v>43</v>
      </c>
      <c r="AZ16" s="25" t="s">
        <v>43</v>
      </c>
      <c r="BA16" s="25" t="s">
        <v>43</v>
      </c>
      <c r="BB16" s="25" t="s">
        <v>43</v>
      </c>
      <c r="BC16" s="25" t="s">
        <v>43</v>
      </c>
      <c r="BD16" s="25" t="s">
        <v>43</v>
      </c>
      <c r="BE16" s="25" t="s">
        <v>43</v>
      </c>
      <c r="BF16" s="25" t="s">
        <v>43</v>
      </c>
      <c r="BG16" s="25" t="s">
        <v>43</v>
      </c>
      <c r="BH16" s="25" t="s">
        <v>43</v>
      </c>
      <c r="BI16" s="25" t="s">
        <v>56</v>
      </c>
      <c r="BJ16" s="25" t="s">
        <v>56</v>
      </c>
      <c r="BK16" s="25" t="s">
        <v>56</v>
      </c>
      <c r="BL16" s="25" t="s">
        <v>56</v>
      </c>
      <c r="BM16" s="25" t="s">
        <v>56</v>
      </c>
      <c r="BN16" s="25" t="s">
        <v>43</v>
      </c>
      <c r="BO16" s="25" t="s">
        <v>43</v>
      </c>
      <c r="BP16" s="25" t="s">
        <v>43</v>
      </c>
      <c r="BQ16" s="25" t="s">
        <v>56</v>
      </c>
      <c r="BR16" s="25" t="s">
        <v>56</v>
      </c>
      <c r="BS16" s="25" t="s">
        <v>43</v>
      </c>
      <c r="BT16" s="25" t="s">
        <v>43</v>
      </c>
      <c r="BU16" s="25" t="s">
        <v>43</v>
      </c>
      <c r="BV16" s="12" t="s">
        <v>43</v>
      </c>
      <c r="BW16" s="12" t="s">
        <v>56</v>
      </c>
      <c r="BX16" s="12" t="s">
        <v>43</v>
      </c>
      <c r="BY16" s="12" t="s">
        <v>56</v>
      </c>
      <c r="BZ16" s="12" t="s">
        <v>43</v>
      </c>
      <c r="CA16" s="12" t="s">
        <v>43</v>
      </c>
      <c r="CB16" s="12" t="s">
        <v>43</v>
      </c>
      <c r="CC16" s="12" t="s">
        <v>43</v>
      </c>
      <c r="CD16" s="12" t="s">
        <v>56</v>
      </c>
      <c r="CE16" s="12" t="s">
        <v>56</v>
      </c>
      <c r="CF16" s="12" t="s">
        <v>43</v>
      </c>
      <c r="CG16" s="12" t="s">
        <v>43</v>
      </c>
      <c r="CH16" s="12" t="s">
        <v>43</v>
      </c>
      <c r="CI16" s="12" t="s">
        <v>56</v>
      </c>
      <c r="CJ16" s="12" t="s">
        <v>56</v>
      </c>
      <c r="CK16" s="12" t="s">
        <v>43</v>
      </c>
      <c r="CL16" s="12" t="s">
        <v>43</v>
      </c>
      <c r="CM16" s="25" t="s">
        <v>43</v>
      </c>
      <c r="CN16" s="25" t="s">
        <v>43</v>
      </c>
      <c r="CO16" s="25" t="s">
        <v>43</v>
      </c>
      <c r="CP16" s="25" t="s">
        <v>43</v>
      </c>
      <c r="CQ16" s="25" t="s">
        <v>56</v>
      </c>
      <c r="CR16" s="25" t="s">
        <v>43</v>
      </c>
      <c r="CS16" s="25" t="s">
        <v>43</v>
      </c>
      <c r="CT16" s="3" t="s">
        <v>43</v>
      </c>
      <c r="CU16" s="25" t="s">
        <v>43</v>
      </c>
      <c r="CV16" s="25" t="s">
        <v>56</v>
      </c>
      <c r="CW16" s="25" t="s">
        <v>56</v>
      </c>
      <c r="CX16" s="25" t="s">
        <v>43</v>
      </c>
      <c r="CY16" s="25" t="s">
        <v>43</v>
      </c>
      <c r="CZ16" s="25" t="s">
        <v>43</v>
      </c>
      <c r="DA16" s="25" t="s">
        <v>56</v>
      </c>
      <c r="DB16" s="25" t="s">
        <v>56</v>
      </c>
      <c r="DC16" s="25" t="s">
        <v>43</v>
      </c>
      <c r="DD16" s="25" t="s">
        <v>43</v>
      </c>
      <c r="DE16" s="25" t="s">
        <v>43</v>
      </c>
      <c r="DF16" s="25" t="s">
        <v>43</v>
      </c>
      <c r="DG16" s="25" t="s">
        <v>43</v>
      </c>
      <c r="DH16" s="25" t="s">
        <v>43</v>
      </c>
      <c r="DI16" s="25" t="s">
        <v>56</v>
      </c>
      <c r="DJ16" s="25" t="s">
        <v>43</v>
      </c>
      <c r="DK16" s="25" t="s">
        <v>43</v>
      </c>
      <c r="DL16" s="25" t="s">
        <v>43</v>
      </c>
      <c r="DM16" s="25" t="s">
        <v>43</v>
      </c>
      <c r="DN16" s="25" t="s">
        <v>56</v>
      </c>
      <c r="DO16" s="25" t="s">
        <v>56</v>
      </c>
      <c r="DP16" s="25" t="s">
        <v>43</v>
      </c>
      <c r="DQ16" s="25" t="s">
        <v>43</v>
      </c>
      <c r="DR16" s="25" t="s">
        <v>43</v>
      </c>
      <c r="DS16" s="25" t="s">
        <v>56</v>
      </c>
      <c r="DT16" s="25" t="s">
        <v>56</v>
      </c>
      <c r="DU16" s="25" t="s">
        <v>43</v>
      </c>
      <c r="DV16" s="25" t="s">
        <v>43</v>
      </c>
      <c r="DW16" s="25" t="s">
        <v>43</v>
      </c>
      <c r="DX16" s="25" t="s">
        <v>120</v>
      </c>
    </row>
    <row r="17" spans="1:128" s="25" customFormat="1" ht="24.6" customHeight="1">
      <c r="A17" s="25">
        <v>14</v>
      </c>
      <c r="B17" s="25" t="s">
        <v>121</v>
      </c>
      <c r="C17" s="45">
        <v>699612687</v>
      </c>
      <c r="D17" s="25" t="s">
        <v>122</v>
      </c>
      <c r="E17" s="92" t="s">
        <v>280</v>
      </c>
      <c r="F17" s="70" t="s">
        <v>281</v>
      </c>
      <c r="G17" s="25">
        <v>20</v>
      </c>
      <c r="H17" s="25" t="s">
        <v>123</v>
      </c>
      <c r="I17" s="25" t="s">
        <v>56</v>
      </c>
      <c r="J17" s="26">
        <v>200000000</v>
      </c>
      <c r="K17" s="25" t="s">
        <v>74</v>
      </c>
      <c r="L17" s="25" t="s">
        <v>124</v>
      </c>
      <c r="M17" s="25">
        <v>15</v>
      </c>
      <c r="N17" s="25" t="s">
        <v>43</v>
      </c>
      <c r="O17" s="25" t="s">
        <v>43</v>
      </c>
      <c r="P17" s="25" t="s">
        <v>56</v>
      </c>
      <c r="Q17" s="25" t="s">
        <v>56</v>
      </c>
      <c r="R17" s="25" t="s">
        <v>56</v>
      </c>
      <c r="S17" s="25" t="s">
        <v>56</v>
      </c>
      <c r="T17" s="25" t="s">
        <v>56</v>
      </c>
      <c r="U17" s="25" t="s">
        <v>56</v>
      </c>
      <c r="V17" s="25" t="s">
        <v>43</v>
      </c>
      <c r="W17" s="25" t="s">
        <v>43</v>
      </c>
      <c r="X17" s="25" t="s">
        <v>43</v>
      </c>
      <c r="Y17" s="25" t="s">
        <v>56</v>
      </c>
      <c r="Z17" s="25" t="s">
        <v>56</v>
      </c>
      <c r="AA17" s="25" t="s">
        <v>56</v>
      </c>
      <c r="AB17" s="25" t="s">
        <v>56</v>
      </c>
      <c r="AC17" s="25" t="s">
        <v>56</v>
      </c>
      <c r="AD17" s="25" t="s">
        <v>56</v>
      </c>
      <c r="AE17" s="25" t="s">
        <v>43</v>
      </c>
      <c r="AF17" s="25" t="s">
        <v>43</v>
      </c>
      <c r="AG17" s="25" t="s">
        <v>43</v>
      </c>
      <c r="AH17" s="25" t="s">
        <v>56</v>
      </c>
      <c r="AI17" s="25" t="s">
        <v>56</v>
      </c>
      <c r="AJ17" s="25" t="s">
        <v>43</v>
      </c>
      <c r="AK17" s="25" t="s">
        <v>43</v>
      </c>
      <c r="AL17" s="25" t="s">
        <v>56</v>
      </c>
      <c r="AM17" s="25" t="s">
        <v>56</v>
      </c>
      <c r="AN17" s="25" t="s">
        <v>43</v>
      </c>
      <c r="AO17" s="25" t="s">
        <v>56</v>
      </c>
      <c r="AP17" s="25" t="s">
        <v>56</v>
      </c>
      <c r="AQ17" s="25" t="s">
        <v>43</v>
      </c>
      <c r="AR17" s="25" t="s">
        <v>43</v>
      </c>
      <c r="AS17" s="25" t="s">
        <v>43</v>
      </c>
      <c r="AT17" s="25" t="s">
        <v>56</v>
      </c>
      <c r="AU17" s="25" t="s">
        <v>56</v>
      </c>
      <c r="AV17" s="25" t="s">
        <v>56</v>
      </c>
      <c r="AW17" s="25" t="s">
        <v>43</v>
      </c>
      <c r="AX17" s="25" t="s">
        <v>43</v>
      </c>
      <c r="AY17" s="25" t="s">
        <v>43</v>
      </c>
      <c r="AZ17" s="25" t="s">
        <v>43</v>
      </c>
      <c r="BA17" s="25" t="s">
        <v>43</v>
      </c>
      <c r="BB17" s="25" t="s">
        <v>43</v>
      </c>
      <c r="BC17" s="25" t="s">
        <v>43</v>
      </c>
      <c r="BD17" s="25" t="s">
        <v>43</v>
      </c>
      <c r="BE17" s="25" t="s">
        <v>43</v>
      </c>
      <c r="BF17" s="25" t="s">
        <v>43</v>
      </c>
      <c r="BG17" s="25" t="s">
        <v>43</v>
      </c>
      <c r="BH17" s="25" t="s">
        <v>43</v>
      </c>
      <c r="BI17" s="25" t="s">
        <v>56</v>
      </c>
      <c r="BJ17" s="25" t="s">
        <v>56</v>
      </c>
      <c r="BK17" s="25" t="s">
        <v>56</v>
      </c>
      <c r="BL17" s="25" t="s">
        <v>56</v>
      </c>
      <c r="BM17" s="25" t="s">
        <v>56</v>
      </c>
      <c r="BN17" s="25" t="s">
        <v>43</v>
      </c>
      <c r="BO17" s="25" t="s">
        <v>43</v>
      </c>
      <c r="BP17" s="25" t="s">
        <v>43</v>
      </c>
      <c r="BQ17" s="25" t="s">
        <v>56</v>
      </c>
      <c r="BR17" s="25" t="s">
        <v>56</v>
      </c>
      <c r="BS17" s="25" t="s">
        <v>43</v>
      </c>
      <c r="BT17" s="25" t="s">
        <v>43</v>
      </c>
      <c r="BU17" s="25" t="s">
        <v>43</v>
      </c>
      <c r="BV17" s="12" t="s">
        <v>43</v>
      </c>
      <c r="BW17" s="12" t="s">
        <v>56</v>
      </c>
      <c r="BX17" s="12" t="s">
        <v>43</v>
      </c>
      <c r="BY17" s="12" t="s">
        <v>56</v>
      </c>
      <c r="BZ17" s="12" t="s">
        <v>43</v>
      </c>
      <c r="CA17" s="12" t="s">
        <v>43</v>
      </c>
      <c r="CB17" s="12" t="s">
        <v>43</v>
      </c>
      <c r="CC17" s="12" t="s">
        <v>43</v>
      </c>
      <c r="CD17" s="12" t="s">
        <v>56</v>
      </c>
      <c r="CE17" s="12" t="s">
        <v>56</v>
      </c>
      <c r="CF17" s="12" t="s">
        <v>43</v>
      </c>
      <c r="CG17" s="12" t="s">
        <v>43</v>
      </c>
      <c r="CH17" s="12" t="s">
        <v>43</v>
      </c>
      <c r="CI17" s="12" t="s">
        <v>56</v>
      </c>
      <c r="CJ17" s="12" t="s">
        <v>56</v>
      </c>
      <c r="CK17" s="12" t="s">
        <v>43</v>
      </c>
      <c r="CL17" s="12" t="s">
        <v>43</v>
      </c>
      <c r="CM17" s="25" t="s">
        <v>43</v>
      </c>
      <c r="CN17" s="25" t="s">
        <v>43</v>
      </c>
      <c r="CO17" s="25" t="s">
        <v>43</v>
      </c>
      <c r="CP17" s="25" t="s">
        <v>43</v>
      </c>
      <c r="CQ17" s="25" t="s">
        <v>56</v>
      </c>
      <c r="CR17" s="25" t="s">
        <v>43</v>
      </c>
      <c r="CS17" s="25" t="s">
        <v>43</v>
      </c>
      <c r="CT17" s="3" t="s">
        <v>43</v>
      </c>
      <c r="CU17" s="25" t="s">
        <v>43</v>
      </c>
      <c r="CV17" s="25" t="s">
        <v>56</v>
      </c>
      <c r="CW17" s="25" t="s">
        <v>56</v>
      </c>
      <c r="CX17" s="25" t="s">
        <v>43</v>
      </c>
      <c r="CY17" s="25" t="s">
        <v>43</v>
      </c>
      <c r="CZ17" s="25" t="s">
        <v>43</v>
      </c>
      <c r="DA17" s="25" t="s">
        <v>56</v>
      </c>
      <c r="DB17" s="25" t="s">
        <v>56</v>
      </c>
      <c r="DC17" s="25" t="s">
        <v>43</v>
      </c>
      <c r="DD17" s="25" t="s">
        <v>43</v>
      </c>
      <c r="DE17" s="25" t="s">
        <v>43</v>
      </c>
      <c r="DF17" s="25" t="s">
        <v>43</v>
      </c>
      <c r="DG17" s="25" t="s">
        <v>43</v>
      </c>
      <c r="DH17" s="25" t="s">
        <v>43</v>
      </c>
      <c r="DI17" s="25" t="s">
        <v>56</v>
      </c>
      <c r="DJ17" s="25" t="s">
        <v>43</v>
      </c>
      <c r="DK17" s="25" t="s">
        <v>43</v>
      </c>
      <c r="DL17" s="25" t="s">
        <v>43</v>
      </c>
      <c r="DM17" s="25" t="s">
        <v>43</v>
      </c>
      <c r="DN17" s="25" t="s">
        <v>56</v>
      </c>
      <c r="DO17" s="25" t="s">
        <v>56</v>
      </c>
      <c r="DP17" s="25" t="s">
        <v>43</v>
      </c>
      <c r="DQ17" s="25" t="s">
        <v>43</v>
      </c>
      <c r="DR17" s="25" t="s">
        <v>43</v>
      </c>
      <c r="DS17" s="25" t="s">
        <v>56</v>
      </c>
      <c r="DT17" s="25" t="s">
        <v>56</v>
      </c>
      <c r="DU17" s="25" t="s">
        <v>43</v>
      </c>
      <c r="DV17" s="25" t="s">
        <v>43</v>
      </c>
      <c r="DW17" s="25" t="s">
        <v>43</v>
      </c>
      <c r="DX17" s="25" t="s">
        <v>36</v>
      </c>
    </row>
    <row r="18" spans="1:128" s="29" customFormat="1" ht="24.6" customHeight="1">
      <c r="A18" s="29">
        <v>15</v>
      </c>
      <c r="B18" s="29" t="s">
        <v>125</v>
      </c>
      <c r="C18" s="87" t="s">
        <v>132</v>
      </c>
      <c r="D18" s="29" t="s">
        <v>282</v>
      </c>
      <c r="E18" s="29" t="s">
        <v>284</v>
      </c>
      <c r="F18" s="93" t="s">
        <v>283</v>
      </c>
      <c r="G18" s="29" t="s">
        <v>127</v>
      </c>
      <c r="H18" s="29">
        <v>4000</v>
      </c>
      <c r="I18" s="29" t="s">
        <v>56</v>
      </c>
      <c r="J18" s="88">
        <v>2500000</v>
      </c>
      <c r="K18" s="29" t="s">
        <v>74</v>
      </c>
      <c r="L18" s="29" t="s">
        <v>128</v>
      </c>
      <c r="M18" s="29">
        <v>5</v>
      </c>
      <c r="N18" s="29" t="s">
        <v>43</v>
      </c>
      <c r="O18" s="29" t="s">
        <v>56</v>
      </c>
      <c r="P18" s="29" t="s">
        <v>56</v>
      </c>
      <c r="Q18" s="29" t="s">
        <v>56</v>
      </c>
      <c r="R18" s="29" t="s">
        <v>56</v>
      </c>
      <c r="S18" s="29" t="s">
        <v>56</v>
      </c>
      <c r="T18" s="29" t="s">
        <v>56</v>
      </c>
      <c r="U18" s="29" t="s">
        <v>56</v>
      </c>
      <c r="V18" s="29" t="s">
        <v>56</v>
      </c>
      <c r="W18" s="29" t="s">
        <v>56</v>
      </c>
      <c r="X18" s="29" t="s">
        <v>56</v>
      </c>
      <c r="Y18" s="29" t="s">
        <v>56</v>
      </c>
      <c r="Z18" s="29" t="s">
        <v>56</v>
      </c>
      <c r="AA18" s="29" t="s">
        <v>43</v>
      </c>
      <c r="AB18" s="29" t="s">
        <v>43</v>
      </c>
      <c r="AC18" s="29" t="s">
        <v>56</v>
      </c>
      <c r="AD18" s="29" t="s">
        <v>56</v>
      </c>
      <c r="AE18" s="29" t="s">
        <v>43</v>
      </c>
      <c r="AF18" s="29" t="s">
        <v>43</v>
      </c>
      <c r="AG18" s="29" t="s">
        <v>43</v>
      </c>
      <c r="AH18" s="29" t="s">
        <v>43</v>
      </c>
      <c r="AI18" s="29" t="s">
        <v>43</v>
      </c>
      <c r="AJ18" s="29" t="s">
        <v>43</v>
      </c>
      <c r="AK18" s="29" t="s">
        <v>43</v>
      </c>
      <c r="AL18" s="29" t="s">
        <v>56</v>
      </c>
      <c r="AM18" s="29" t="s">
        <v>56</v>
      </c>
      <c r="AN18" s="29" t="s">
        <v>56</v>
      </c>
      <c r="AO18" s="29" t="s">
        <v>56</v>
      </c>
      <c r="AP18" s="29" t="s">
        <v>56</v>
      </c>
      <c r="AQ18" s="29" t="s">
        <v>56</v>
      </c>
      <c r="AR18" s="29" t="s">
        <v>56</v>
      </c>
      <c r="AS18" s="29" t="s">
        <v>56</v>
      </c>
      <c r="AT18" s="29" t="s">
        <v>56</v>
      </c>
      <c r="AU18" s="29" t="s">
        <v>56</v>
      </c>
      <c r="AV18" s="29" t="s">
        <v>56</v>
      </c>
      <c r="AW18" s="29" t="s">
        <v>56</v>
      </c>
      <c r="AX18" s="29" t="s">
        <v>56</v>
      </c>
      <c r="AY18" s="29" t="s">
        <v>56</v>
      </c>
      <c r="AZ18" s="29" t="s">
        <v>56</v>
      </c>
      <c r="BA18" s="29" t="s">
        <v>56</v>
      </c>
      <c r="BB18" s="29" t="s">
        <v>56</v>
      </c>
      <c r="BC18" s="29" t="s">
        <v>56</v>
      </c>
      <c r="BD18" s="29" t="s">
        <v>56</v>
      </c>
      <c r="BE18" s="29" t="s">
        <v>56</v>
      </c>
      <c r="BF18" s="29" t="s">
        <v>56</v>
      </c>
      <c r="BG18" s="29" t="s">
        <v>56</v>
      </c>
      <c r="BH18" s="29" t="s">
        <v>56</v>
      </c>
      <c r="BI18" s="29" t="s">
        <v>56</v>
      </c>
      <c r="BJ18" s="29" t="s">
        <v>56</v>
      </c>
      <c r="BK18" s="29" t="s">
        <v>56</v>
      </c>
      <c r="BL18" s="29" t="s">
        <v>56</v>
      </c>
      <c r="BM18" s="29" t="s">
        <v>56</v>
      </c>
      <c r="BN18" s="29" t="s">
        <v>56</v>
      </c>
      <c r="BO18" s="29" t="s">
        <v>56</v>
      </c>
      <c r="BP18" s="29" t="s">
        <v>56</v>
      </c>
      <c r="BQ18" s="29" t="s">
        <v>56</v>
      </c>
      <c r="BR18" s="29" t="s">
        <v>56</v>
      </c>
      <c r="BS18" s="29" t="s">
        <v>56</v>
      </c>
      <c r="BT18" s="29" t="s">
        <v>56</v>
      </c>
      <c r="BU18" s="29" t="s">
        <v>56</v>
      </c>
      <c r="BV18" s="69" t="s">
        <v>56</v>
      </c>
      <c r="BW18" s="69" t="s">
        <v>56</v>
      </c>
      <c r="BX18" s="69" t="s">
        <v>56</v>
      </c>
      <c r="BY18" s="69" t="s">
        <v>56</v>
      </c>
      <c r="BZ18" s="69" t="s">
        <v>56</v>
      </c>
      <c r="CA18" s="69" t="s">
        <v>56</v>
      </c>
      <c r="CB18" s="69" t="s">
        <v>56</v>
      </c>
      <c r="CC18" s="69" t="s">
        <v>56</v>
      </c>
      <c r="CD18" s="69" t="s">
        <v>56</v>
      </c>
      <c r="CE18" s="69" t="s">
        <v>56</v>
      </c>
      <c r="CF18" s="69" t="s">
        <v>56</v>
      </c>
      <c r="CG18" s="69" t="s">
        <v>56</v>
      </c>
      <c r="CH18" s="69" t="s">
        <v>56</v>
      </c>
      <c r="CI18" s="69" t="s">
        <v>56</v>
      </c>
      <c r="CJ18" s="69" t="s">
        <v>56</v>
      </c>
      <c r="CK18" s="69" t="s">
        <v>56</v>
      </c>
      <c r="CL18" s="69" t="s">
        <v>56</v>
      </c>
      <c r="CM18" s="29" t="s">
        <v>56</v>
      </c>
      <c r="CN18" s="29" t="s">
        <v>56</v>
      </c>
      <c r="CO18" s="29" t="s">
        <v>56</v>
      </c>
      <c r="CP18" s="29" t="s">
        <v>56</v>
      </c>
      <c r="CQ18" s="29" t="s">
        <v>56</v>
      </c>
      <c r="CR18" s="29" t="s">
        <v>56</v>
      </c>
      <c r="CS18" s="29" t="s">
        <v>56</v>
      </c>
      <c r="CT18" s="68" t="s">
        <v>56</v>
      </c>
      <c r="CU18" s="29" t="s">
        <v>56</v>
      </c>
      <c r="CV18" s="29" t="s">
        <v>56</v>
      </c>
      <c r="CW18" s="29" t="s">
        <v>56</v>
      </c>
      <c r="CX18" s="29" t="s">
        <v>56</v>
      </c>
      <c r="CY18" s="29" t="s">
        <v>56</v>
      </c>
      <c r="CZ18" s="29" t="s">
        <v>56</v>
      </c>
      <c r="DA18" s="29" t="s">
        <v>56</v>
      </c>
      <c r="DB18" s="29" t="s">
        <v>56</v>
      </c>
      <c r="DC18" s="29" t="s">
        <v>56</v>
      </c>
      <c r="DD18" s="29" t="s">
        <v>56</v>
      </c>
      <c r="DE18" s="29" t="s">
        <v>56</v>
      </c>
      <c r="DF18" s="29" t="s">
        <v>56</v>
      </c>
      <c r="DG18" s="29" t="s">
        <v>56</v>
      </c>
      <c r="DH18" s="29" t="s">
        <v>56</v>
      </c>
      <c r="DI18" s="29" t="s">
        <v>56</v>
      </c>
      <c r="DJ18" s="29" t="s">
        <v>56</v>
      </c>
      <c r="DK18" s="29" t="s">
        <v>56</v>
      </c>
      <c r="DL18" s="29" t="s">
        <v>56</v>
      </c>
      <c r="DM18" s="29" t="s">
        <v>56</v>
      </c>
      <c r="DN18" s="29" t="s">
        <v>56</v>
      </c>
      <c r="DO18" s="29" t="s">
        <v>56</v>
      </c>
      <c r="DP18" s="29" t="s">
        <v>56</v>
      </c>
      <c r="DQ18" s="29" t="s">
        <v>56</v>
      </c>
      <c r="DR18" s="29" t="s">
        <v>56</v>
      </c>
      <c r="DS18" s="29" t="s">
        <v>56</v>
      </c>
      <c r="DT18" s="29" t="s">
        <v>56</v>
      </c>
      <c r="DU18" s="29" t="s">
        <v>56</v>
      </c>
      <c r="DV18" s="29" t="s">
        <v>56</v>
      </c>
      <c r="DW18" s="29" t="s">
        <v>56</v>
      </c>
      <c r="DX18" s="29" t="s">
        <v>36</v>
      </c>
    </row>
    <row r="19" spans="1:128" s="70" customFormat="1" ht="24.6" customHeight="1">
      <c r="A19" s="70">
        <v>16</v>
      </c>
      <c r="B19" s="70" t="s">
        <v>129</v>
      </c>
      <c r="C19" s="45">
        <v>674853303</v>
      </c>
      <c r="D19" s="70" t="s">
        <v>130</v>
      </c>
      <c r="E19" s="70" t="s">
        <v>285</v>
      </c>
      <c r="F19" s="93" t="s">
        <v>286</v>
      </c>
      <c r="G19" s="70">
        <v>10</v>
      </c>
      <c r="H19" s="70">
        <v>500</v>
      </c>
      <c r="I19" s="70" t="s">
        <v>56</v>
      </c>
      <c r="J19" s="26">
        <v>3000000</v>
      </c>
      <c r="K19" s="70" t="s">
        <v>74</v>
      </c>
      <c r="L19" s="70" t="s">
        <v>131</v>
      </c>
      <c r="M19" s="70">
        <v>5</v>
      </c>
      <c r="N19" s="70" t="s">
        <v>43</v>
      </c>
      <c r="O19" s="70" t="s">
        <v>56</v>
      </c>
      <c r="P19" s="70" t="s">
        <v>56</v>
      </c>
      <c r="Q19" s="70" t="s">
        <v>56</v>
      </c>
      <c r="R19" s="70" t="s">
        <v>56</v>
      </c>
      <c r="S19" s="70" t="s">
        <v>56</v>
      </c>
      <c r="T19" s="70" t="s">
        <v>56</v>
      </c>
      <c r="U19" s="70" t="s">
        <v>56</v>
      </c>
      <c r="V19" s="70" t="s">
        <v>56</v>
      </c>
      <c r="W19" s="70" t="s">
        <v>56</v>
      </c>
      <c r="X19" s="70" t="s">
        <v>56</v>
      </c>
      <c r="Y19" s="70" t="s">
        <v>56</v>
      </c>
      <c r="Z19" s="70" t="s">
        <v>56</v>
      </c>
      <c r="AA19" s="70" t="s">
        <v>56</v>
      </c>
      <c r="AB19" s="70" t="s">
        <v>43</v>
      </c>
      <c r="AC19" s="70" t="s">
        <v>56</v>
      </c>
      <c r="AD19" s="70" t="s">
        <v>56</v>
      </c>
      <c r="AE19" s="70" t="s">
        <v>43</v>
      </c>
      <c r="AF19" s="70" t="s">
        <v>43</v>
      </c>
      <c r="AG19" s="70" t="s">
        <v>43</v>
      </c>
      <c r="AH19" s="70" t="s">
        <v>43</v>
      </c>
      <c r="AI19" s="70" t="s">
        <v>43</v>
      </c>
      <c r="AJ19" s="70" t="s">
        <v>43</v>
      </c>
      <c r="AK19" s="70" t="s">
        <v>43</v>
      </c>
      <c r="AL19" s="70" t="s">
        <v>56</v>
      </c>
      <c r="AM19" s="70" t="s">
        <v>56</v>
      </c>
      <c r="AN19" s="70" t="s">
        <v>56</v>
      </c>
      <c r="AO19" s="70" t="s">
        <v>56</v>
      </c>
      <c r="AP19" s="70" t="s">
        <v>56</v>
      </c>
      <c r="AQ19" s="70" t="s">
        <v>56</v>
      </c>
      <c r="AR19" s="70" t="s">
        <v>56</v>
      </c>
      <c r="AS19" s="70" t="s">
        <v>56</v>
      </c>
      <c r="AT19" s="70" t="s">
        <v>56</v>
      </c>
      <c r="AU19" s="70" t="s">
        <v>56</v>
      </c>
      <c r="AV19" s="70" t="s">
        <v>56</v>
      </c>
      <c r="AW19" s="70" t="s">
        <v>56</v>
      </c>
      <c r="AX19" s="70" t="s">
        <v>56</v>
      </c>
      <c r="AY19" s="70" t="s">
        <v>56</v>
      </c>
      <c r="AZ19" s="70" t="s">
        <v>56</v>
      </c>
      <c r="BA19" s="70" t="s">
        <v>56</v>
      </c>
      <c r="BB19" s="70" t="s">
        <v>56</v>
      </c>
      <c r="BC19" s="70" t="s">
        <v>56</v>
      </c>
      <c r="BD19" s="70" t="s">
        <v>56</v>
      </c>
      <c r="BE19" s="70" t="s">
        <v>56</v>
      </c>
      <c r="BF19" s="70" t="s">
        <v>56</v>
      </c>
      <c r="BG19" s="70" t="s">
        <v>56</v>
      </c>
      <c r="BH19" s="70" t="s">
        <v>56</v>
      </c>
      <c r="BI19" s="70" t="s">
        <v>56</v>
      </c>
      <c r="BJ19" s="70" t="s">
        <v>56</v>
      </c>
      <c r="BK19" s="70" t="s">
        <v>56</v>
      </c>
      <c r="BL19" s="70" t="s">
        <v>56</v>
      </c>
      <c r="BM19" s="70" t="s">
        <v>56</v>
      </c>
      <c r="BN19" s="70" t="s">
        <v>56</v>
      </c>
      <c r="BO19" s="70" t="s">
        <v>56</v>
      </c>
      <c r="BP19" s="70" t="s">
        <v>56</v>
      </c>
      <c r="BQ19" s="70" t="s">
        <v>56</v>
      </c>
      <c r="BR19" s="70" t="s">
        <v>56</v>
      </c>
      <c r="BS19" s="70" t="s">
        <v>56</v>
      </c>
      <c r="BT19" s="70" t="s">
        <v>56</v>
      </c>
      <c r="BU19" s="70" t="s">
        <v>56</v>
      </c>
      <c r="BV19" s="69" t="s">
        <v>56</v>
      </c>
      <c r="BW19" s="69" t="s">
        <v>56</v>
      </c>
      <c r="BX19" s="69" t="s">
        <v>56</v>
      </c>
      <c r="BY19" s="69" t="s">
        <v>56</v>
      </c>
      <c r="BZ19" s="69" t="s">
        <v>56</v>
      </c>
      <c r="CA19" s="69" t="s">
        <v>56</v>
      </c>
      <c r="CB19" s="69" t="s">
        <v>56</v>
      </c>
      <c r="CC19" s="69" t="s">
        <v>56</v>
      </c>
      <c r="CD19" s="69" t="s">
        <v>56</v>
      </c>
      <c r="CE19" s="69" t="s">
        <v>56</v>
      </c>
      <c r="CF19" s="69" t="s">
        <v>56</v>
      </c>
      <c r="CG19" s="69" t="s">
        <v>56</v>
      </c>
      <c r="CH19" s="69" t="s">
        <v>56</v>
      </c>
      <c r="CI19" s="69" t="s">
        <v>56</v>
      </c>
      <c r="CJ19" s="69" t="s">
        <v>56</v>
      </c>
      <c r="CK19" s="69" t="s">
        <v>56</v>
      </c>
      <c r="CL19" s="69" t="s">
        <v>56</v>
      </c>
      <c r="CM19" s="70" t="s">
        <v>56</v>
      </c>
      <c r="CN19" s="70" t="s">
        <v>56</v>
      </c>
      <c r="CO19" s="70" t="s">
        <v>56</v>
      </c>
      <c r="CP19" s="70" t="s">
        <v>56</v>
      </c>
      <c r="CQ19" s="70" t="s">
        <v>56</v>
      </c>
      <c r="CR19" s="70" t="s">
        <v>56</v>
      </c>
      <c r="CS19" s="70" t="s">
        <v>56</v>
      </c>
      <c r="CT19" s="68" t="s">
        <v>56</v>
      </c>
      <c r="CU19" s="70" t="s">
        <v>56</v>
      </c>
      <c r="CV19" s="70" t="s">
        <v>56</v>
      </c>
      <c r="CW19" s="70" t="s">
        <v>56</v>
      </c>
      <c r="CX19" s="70" t="s">
        <v>56</v>
      </c>
      <c r="CY19" s="70" t="s">
        <v>56</v>
      </c>
      <c r="CZ19" s="70" t="s">
        <v>56</v>
      </c>
      <c r="DA19" s="70" t="s">
        <v>56</v>
      </c>
      <c r="DB19" s="70" t="s">
        <v>56</v>
      </c>
      <c r="DC19" s="70" t="s">
        <v>56</v>
      </c>
      <c r="DD19" s="70" t="s">
        <v>56</v>
      </c>
      <c r="DE19" s="70" t="s">
        <v>56</v>
      </c>
      <c r="DF19" s="70" t="s">
        <v>56</v>
      </c>
      <c r="DG19" s="70" t="s">
        <v>56</v>
      </c>
      <c r="DH19" s="70" t="s">
        <v>56</v>
      </c>
      <c r="DI19" s="70" t="s">
        <v>56</v>
      </c>
      <c r="DJ19" s="70" t="s">
        <v>56</v>
      </c>
      <c r="DK19" s="70" t="s">
        <v>56</v>
      </c>
      <c r="DL19" s="70" t="s">
        <v>56</v>
      </c>
      <c r="DM19" s="70" t="s">
        <v>56</v>
      </c>
      <c r="DN19" s="70" t="s">
        <v>56</v>
      </c>
      <c r="DO19" s="70" t="s">
        <v>56</v>
      </c>
      <c r="DP19" s="70" t="s">
        <v>56</v>
      </c>
      <c r="DQ19" s="70" t="s">
        <v>56</v>
      </c>
      <c r="DR19" s="70" t="s">
        <v>56</v>
      </c>
      <c r="DS19" s="70" t="s">
        <v>56</v>
      </c>
      <c r="DT19" s="70" t="s">
        <v>56</v>
      </c>
      <c r="DU19" s="70" t="s">
        <v>56</v>
      </c>
      <c r="DV19" s="70" t="s">
        <v>56</v>
      </c>
      <c r="DW19" s="70" t="s">
        <v>56</v>
      </c>
      <c r="DX19" s="70" t="s">
        <v>36</v>
      </c>
    </row>
    <row r="20" spans="1:128" s="25" customFormat="1" ht="24.6" customHeight="1">
      <c r="A20" s="25">
        <v>17</v>
      </c>
      <c r="B20" s="25" t="s">
        <v>133</v>
      </c>
      <c r="C20" s="45">
        <v>675151364</v>
      </c>
      <c r="D20" s="25" t="s">
        <v>95</v>
      </c>
      <c r="E20" s="70" t="s">
        <v>273</v>
      </c>
      <c r="F20" s="70" t="s">
        <v>272</v>
      </c>
      <c r="G20" s="25">
        <v>5</v>
      </c>
      <c r="H20" s="25">
        <v>400</v>
      </c>
      <c r="I20" s="25" t="s">
        <v>56</v>
      </c>
      <c r="J20" s="26">
        <v>6000000</v>
      </c>
      <c r="K20" s="25" t="s">
        <v>74</v>
      </c>
      <c r="L20" s="25" t="s">
        <v>97</v>
      </c>
      <c r="M20" s="25">
        <v>5</v>
      </c>
      <c r="N20" s="25" t="s">
        <v>43</v>
      </c>
      <c r="O20" s="25" t="s">
        <v>43</v>
      </c>
      <c r="P20" s="25" t="s">
        <v>43</v>
      </c>
      <c r="Q20" s="25" t="s">
        <v>43</v>
      </c>
      <c r="R20" s="25" t="s">
        <v>43</v>
      </c>
      <c r="S20" s="25" t="s">
        <v>43</v>
      </c>
      <c r="T20" s="25" t="s">
        <v>56</v>
      </c>
      <c r="U20" s="25" t="s">
        <v>56</v>
      </c>
      <c r="V20" s="25" t="s">
        <v>56</v>
      </c>
      <c r="W20" s="25" t="s">
        <v>56</v>
      </c>
      <c r="X20" s="25" t="s">
        <v>56</v>
      </c>
      <c r="Y20" s="25" t="s">
        <v>56</v>
      </c>
      <c r="Z20" s="25" t="s">
        <v>56</v>
      </c>
      <c r="AA20" s="25" t="s">
        <v>56</v>
      </c>
      <c r="AB20" s="25" t="s">
        <v>56</v>
      </c>
      <c r="AC20" s="25" t="s">
        <v>56</v>
      </c>
      <c r="AD20" s="25" t="s">
        <v>56</v>
      </c>
      <c r="AE20" s="25" t="s">
        <v>56</v>
      </c>
      <c r="AF20" s="25" t="s">
        <v>56</v>
      </c>
      <c r="AG20" s="25" t="s">
        <v>56</v>
      </c>
      <c r="AH20" s="25" t="s">
        <v>56</v>
      </c>
      <c r="AI20" s="25" t="s">
        <v>56</v>
      </c>
      <c r="AJ20" s="25" t="s">
        <v>56</v>
      </c>
      <c r="AK20" s="25" t="s">
        <v>56</v>
      </c>
      <c r="AL20" s="25" t="s">
        <v>56</v>
      </c>
      <c r="AM20" s="25" t="s">
        <v>56</v>
      </c>
      <c r="AN20" s="25" t="s">
        <v>56</v>
      </c>
      <c r="AO20" s="25" t="s">
        <v>56</v>
      </c>
      <c r="AP20" s="25" t="s">
        <v>56</v>
      </c>
      <c r="AQ20" s="25" t="s">
        <v>56</v>
      </c>
      <c r="AR20" s="25" t="s">
        <v>56</v>
      </c>
      <c r="AS20" s="25" t="s">
        <v>56</v>
      </c>
      <c r="AT20" s="25" t="s">
        <v>56</v>
      </c>
      <c r="AU20" s="25" t="s">
        <v>56</v>
      </c>
      <c r="AV20" s="25" t="s">
        <v>56</v>
      </c>
      <c r="AW20" s="25" t="s">
        <v>56</v>
      </c>
      <c r="AX20" s="25" t="s">
        <v>56</v>
      </c>
      <c r="AY20" s="25" t="s">
        <v>56</v>
      </c>
      <c r="AZ20" s="25" t="s">
        <v>56</v>
      </c>
      <c r="BA20" s="25" t="s">
        <v>56</v>
      </c>
      <c r="BB20" s="25" t="s">
        <v>56</v>
      </c>
      <c r="BC20" s="25" t="s">
        <v>56</v>
      </c>
      <c r="BD20" s="25" t="s">
        <v>56</v>
      </c>
      <c r="BE20" s="25" t="s">
        <v>56</v>
      </c>
      <c r="BF20" s="25" t="s">
        <v>56</v>
      </c>
      <c r="BG20" s="25" t="s">
        <v>56</v>
      </c>
      <c r="BH20" s="25" t="s">
        <v>56</v>
      </c>
      <c r="BI20" s="25" t="s">
        <v>56</v>
      </c>
      <c r="BJ20" s="25" t="s">
        <v>56</v>
      </c>
      <c r="BK20" s="25" t="s">
        <v>56</v>
      </c>
      <c r="BL20" s="25" t="s">
        <v>56</v>
      </c>
      <c r="BM20" s="25" t="s">
        <v>56</v>
      </c>
      <c r="BN20" s="25" t="s">
        <v>56</v>
      </c>
      <c r="BO20" s="25" t="s">
        <v>56</v>
      </c>
      <c r="BP20" s="25" t="s">
        <v>56</v>
      </c>
      <c r="BQ20" s="25" t="s">
        <v>56</v>
      </c>
      <c r="BR20" s="25" t="s">
        <v>56</v>
      </c>
      <c r="BS20" s="25" t="s">
        <v>56</v>
      </c>
      <c r="BT20" s="25" t="s">
        <v>56</v>
      </c>
      <c r="BU20" s="25" t="s">
        <v>56</v>
      </c>
      <c r="BV20" s="12" t="s">
        <v>56</v>
      </c>
      <c r="BW20" s="12" t="s">
        <v>56</v>
      </c>
      <c r="BX20" s="12" t="s">
        <v>56</v>
      </c>
      <c r="BY20" s="12" t="s">
        <v>56</v>
      </c>
      <c r="BZ20" s="12" t="s">
        <v>56</v>
      </c>
      <c r="CA20" s="12" t="s">
        <v>56</v>
      </c>
      <c r="CB20" s="12" t="s">
        <v>56</v>
      </c>
      <c r="CC20" s="12" t="s">
        <v>56</v>
      </c>
      <c r="CD20" s="12" t="s">
        <v>56</v>
      </c>
      <c r="CE20" s="12" t="s">
        <v>56</v>
      </c>
      <c r="CF20" s="12" t="s">
        <v>56</v>
      </c>
      <c r="CG20" s="12" t="s">
        <v>56</v>
      </c>
      <c r="CH20" s="12" t="s">
        <v>56</v>
      </c>
      <c r="CI20" s="12" t="s">
        <v>56</v>
      </c>
      <c r="CJ20" s="12" t="s">
        <v>56</v>
      </c>
      <c r="CK20" s="12" t="s">
        <v>56</v>
      </c>
      <c r="CL20" s="12" t="s">
        <v>56</v>
      </c>
      <c r="CM20" s="25" t="s">
        <v>56</v>
      </c>
      <c r="CN20" s="25" t="s">
        <v>43</v>
      </c>
      <c r="CO20" s="25" t="s">
        <v>43</v>
      </c>
      <c r="CP20" s="25" t="s">
        <v>43</v>
      </c>
      <c r="CQ20" s="25" t="s">
        <v>43</v>
      </c>
      <c r="CR20" s="25" t="s">
        <v>43</v>
      </c>
      <c r="CS20" s="25" t="s">
        <v>43</v>
      </c>
      <c r="CT20" s="3" t="s">
        <v>43</v>
      </c>
      <c r="CU20" s="25" t="s">
        <v>43</v>
      </c>
      <c r="CV20" s="25" t="s">
        <v>43</v>
      </c>
      <c r="CW20" s="25" t="s">
        <v>43</v>
      </c>
      <c r="CX20" s="25" t="s">
        <v>43</v>
      </c>
      <c r="CY20" s="25" t="s">
        <v>43</v>
      </c>
      <c r="CZ20" s="25" t="s">
        <v>43</v>
      </c>
      <c r="DA20" s="25" t="s">
        <v>43</v>
      </c>
      <c r="DB20" s="25" t="s">
        <v>43</v>
      </c>
      <c r="DC20" s="25" t="s">
        <v>43</v>
      </c>
      <c r="DD20" s="25" t="s">
        <v>43</v>
      </c>
      <c r="DE20" s="25" t="s">
        <v>43</v>
      </c>
      <c r="DF20" s="25" t="s">
        <v>43</v>
      </c>
      <c r="DG20" s="25" t="s">
        <v>43</v>
      </c>
      <c r="DH20" s="25" t="s">
        <v>43</v>
      </c>
      <c r="DI20" s="25" t="s">
        <v>43</v>
      </c>
      <c r="DJ20" s="25" t="s">
        <v>43</v>
      </c>
      <c r="DK20" s="25" t="s">
        <v>43</v>
      </c>
      <c r="DL20" s="25" t="s">
        <v>43</v>
      </c>
      <c r="DM20" s="25" t="s">
        <v>43</v>
      </c>
      <c r="DN20" s="25" t="s">
        <v>43</v>
      </c>
      <c r="DO20" s="25" t="s">
        <v>43</v>
      </c>
      <c r="DP20" s="25" t="s">
        <v>43</v>
      </c>
      <c r="DQ20" s="25" t="s">
        <v>43</v>
      </c>
      <c r="DR20" s="25" t="s">
        <v>43</v>
      </c>
      <c r="DS20" s="25" t="s">
        <v>43</v>
      </c>
      <c r="DT20" s="25" t="s">
        <v>43</v>
      </c>
      <c r="DU20" s="25" t="s">
        <v>43</v>
      </c>
      <c r="DV20" s="25" t="s">
        <v>43</v>
      </c>
      <c r="DW20" s="25" t="s">
        <v>43</v>
      </c>
    </row>
    <row r="21" spans="1:128" s="25" customFormat="1" ht="24.6" customHeight="1">
      <c r="A21" s="25">
        <v>18</v>
      </c>
      <c r="B21" s="25" t="s">
        <v>134</v>
      </c>
      <c r="C21" s="45">
        <v>699788027</v>
      </c>
      <c r="D21" s="25" t="s">
        <v>136</v>
      </c>
      <c r="E21" s="70"/>
      <c r="F21" s="70"/>
      <c r="G21" s="25">
        <v>8</v>
      </c>
      <c r="H21" s="25">
        <v>300</v>
      </c>
      <c r="I21" s="25" t="s">
        <v>56</v>
      </c>
      <c r="J21" s="26">
        <v>4000000</v>
      </c>
      <c r="K21" s="25" t="s">
        <v>42</v>
      </c>
      <c r="L21" s="25" t="s">
        <v>42</v>
      </c>
      <c r="M21" s="25">
        <v>22</v>
      </c>
      <c r="N21" s="25" t="s">
        <v>43</v>
      </c>
      <c r="O21" s="25" t="s">
        <v>43</v>
      </c>
      <c r="P21" s="25" t="s">
        <v>56</v>
      </c>
      <c r="Q21" s="25" t="s">
        <v>56</v>
      </c>
      <c r="R21" s="25" t="s">
        <v>56</v>
      </c>
      <c r="S21" s="25" t="s">
        <v>56</v>
      </c>
      <c r="T21" s="25" t="s">
        <v>56</v>
      </c>
      <c r="U21" s="25" t="s">
        <v>56</v>
      </c>
      <c r="V21" s="25" t="s">
        <v>56</v>
      </c>
      <c r="W21" s="25" t="s">
        <v>56</v>
      </c>
      <c r="X21" s="25" t="s">
        <v>56</v>
      </c>
      <c r="Y21" s="25" t="s">
        <v>56</v>
      </c>
      <c r="Z21" s="25" t="s">
        <v>56</v>
      </c>
      <c r="AA21" s="25" t="s">
        <v>56</v>
      </c>
      <c r="AB21" s="25" t="s">
        <v>56</v>
      </c>
      <c r="AC21" s="25" t="s">
        <v>56</v>
      </c>
      <c r="AD21" s="25" t="s">
        <v>56</v>
      </c>
      <c r="AE21" s="25" t="s">
        <v>56</v>
      </c>
      <c r="AF21" s="25" t="s">
        <v>56</v>
      </c>
      <c r="AG21" s="25" t="s">
        <v>56</v>
      </c>
      <c r="AH21" s="25" t="s">
        <v>56</v>
      </c>
      <c r="AI21" s="25" t="s">
        <v>56</v>
      </c>
      <c r="AJ21" s="25" t="s">
        <v>56</v>
      </c>
      <c r="AK21" s="25" t="s">
        <v>56</v>
      </c>
      <c r="AL21" s="25" t="s">
        <v>43</v>
      </c>
      <c r="AM21" s="25" t="s">
        <v>43</v>
      </c>
      <c r="AN21" s="25" t="s">
        <v>56</v>
      </c>
      <c r="AO21" s="25" t="s">
        <v>56</v>
      </c>
      <c r="AP21" s="25" t="s">
        <v>56</v>
      </c>
      <c r="AQ21" s="25" t="s">
        <v>43</v>
      </c>
      <c r="AR21" s="25" t="s">
        <v>43</v>
      </c>
      <c r="AS21" s="25" t="s">
        <v>43</v>
      </c>
      <c r="AT21" s="25" t="s">
        <v>43</v>
      </c>
      <c r="AU21" s="25" t="s">
        <v>43</v>
      </c>
      <c r="AV21" s="25" t="s">
        <v>43</v>
      </c>
      <c r="AW21" s="25" t="s">
        <v>43</v>
      </c>
      <c r="AX21" s="25" t="s">
        <v>43</v>
      </c>
      <c r="AY21" s="25" t="s">
        <v>43</v>
      </c>
      <c r="AZ21" s="25" t="s">
        <v>43</v>
      </c>
      <c r="BA21" s="25" t="s">
        <v>43</v>
      </c>
      <c r="BB21" s="25" t="s">
        <v>43</v>
      </c>
      <c r="BC21" s="25" t="s">
        <v>43</v>
      </c>
      <c r="BD21" s="25" t="s">
        <v>56</v>
      </c>
      <c r="BE21" s="25" t="s">
        <v>56</v>
      </c>
      <c r="BF21" s="25" t="s">
        <v>56</v>
      </c>
      <c r="BG21" s="25" t="s">
        <v>56</v>
      </c>
      <c r="BH21" s="25" t="s">
        <v>56</v>
      </c>
      <c r="BI21" s="25" t="s">
        <v>56</v>
      </c>
      <c r="BJ21" s="25" t="s">
        <v>56</v>
      </c>
      <c r="BK21" s="25" t="s">
        <v>56</v>
      </c>
      <c r="BL21" s="25" t="s">
        <v>56</v>
      </c>
      <c r="BM21" s="25" t="s">
        <v>56</v>
      </c>
      <c r="BN21" s="25" t="s">
        <v>56</v>
      </c>
      <c r="BO21" s="25" t="s">
        <v>56</v>
      </c>
      <c r="BP21" s="25" t="s">
        <v>56</v>
      </c>
      <c r="BQ21" s="25" t="s">
        <v>56</v>
      </c>
      <c r="BR21" s="25" t="s">
        <v>56</v>
      </c>
      <c r="BS21" s="25" t="s">
        <v>56</v>
      </c>
      <c r="BT21" s="25" t="s">
        <v>56</v>
      </c>
      <c r="BU21" s="25" t="s">
        <v>56</v>
      </c>
      <c r="BV21" s="12" t="s">
        <v>56</v>
      </c>
      <c r="BW21" s="12" t="s">
        <v>56</v>
      </c>
      <c r="BX21" s="12" t="s">
        <v>56</v>
      </c>
      <c r="BY21" s="12" t="s">
        <v>56</v>
      </c>
      <c r="BZ21" s="12" t="s">
        <v>56</v>
      </c>
      <c r="CA21" s="12" t="s">
        <v>56</v>
      </c>
      <c r="CB21" s="12" t="s">
        <v>56</v>
      </c>
      <c r="CC21" s="12" t="s">
        <v>56</v>
      </c>
      <c r="CD21" s="12" t="s">
        <v>56</v>
      </c>
      <c r="CE21" s="12" t="s">
        <v>56</v>
      </c>
      <c r="CF21" s="12" t="s">
        <v>56</v>
      </c>
      <c r="CG21" s="12" t="s">
        <v>56</v>
      </c>
      <c r="CH21" s="12" t="s">
        <v>56</v>
      </c>
      <c r="CI21" s="12" t="s">
        <v>56</v>
      </c>
      <c r="CJ21" s="12" t="s">
        <v>56</v>
      </c>
      <c r="CK21" s="12" t="s">
        <v>56</v>
      </c>
      <c r="CL21" s="12" t="s">
        <v>56</v>
      </c>
      <c r="CM21" s="25" t="s">
        <v>56</v>
      </c>
      <c r="CN21" s="25" t="s">
        <v>56</v>
      </c>
      <c r="CO21" s="25" t="s">
        <v>56</v>
      </c>
      <c r="CP21" s="25" t="s">
        <v>56</v>
      </c>
      <c r="CQ21" s="25" t="s">
        <v>56</v>
      </c>
      <c r="CR21" s="25" t="s">
        <v>56</v>
      </c>
      <c r="CS21" s="25" t="s">
        <v>56</v>
      </c>
      <c r="CT21" s="3" t="s">
        <v>56</v>
      </c>
      <c r="CU21" s="25" t="s">
        <v>56</v>
      </c>
      <c r="CV21" s="25" t="s">
        <v>56</v>
      </c>
      <c r="CW21" s="25" t="s">
        <v>56</v>
      </c>
      <c r="CX21" s="25" t="s">
        <v>56</v>
      </c>
      <c r="CY21" s="25" t="s">
        <v>56</v>
      </c>
      <c r="CZ21" s="25" t="s">
        <v>56</v>
      </c>
      <c r="DA21" s="25" t="s">
        <v>56</v>
      </c>
      <c r="DB21" s="25" t="s">
        <v>56</v>
      </c>
      <c r="DC21" s="25" t="s">
        <v>56</v>
      </c>
      <c r="DD21" s="25" t="s">
        <v>56</v>
      </c>
      <c r="DE21" s="25" t="s">
        <v>56</v>
      </c>
      <c r="DF21" s="25" t="s">
        <v>56</v>
      </c>
      <c r="DG21" s="25" t="s">
        <v>56</v>
      </c>
      <c r="DH21" s="25" t="s">
        <v>56</v>
      </c>
      <c r="DI21" s="25" t="s">
        <v>56</v>
      </c>
      <c r="DJ21" s="25" t="s">
        <v>56</v>
      </c>
      <c r="DK21" s="25" t="s">
        <v>56</v>
      </c>
      <c r="DL21" s="25" t="s">
        <v>56</v>
      </c>
      <c r="DM21" s="25" t="s">
        <v>56</v>
      </c>
      <c r="DN21" s="25" t="s">
        <v>56</v>
      </c>
      <c r="DO21" s="25" t="s">
        <v>56</v>
      </c>
      <c r="DP21" s="25" t="s">
        <v>56</v>
      </c>
      <c r="DQ21" s="25" t="s">
        <v>56</v>
      </c>
      <c r="DR21" s="25" t="s">
        <v>56</v>
      </c>
      <c r="DS21" s="25" t="s">
        <v>56</v>
      </c>
      <c r="DT21" s="25" t="s">
        <v>56</v>
      </c>
      <c r="DU21" s="25" t="s">
        <v>56</v>
      </c>
      <c r="DV21" s="25" t="s">
        <v>56</v>
      </c>
      <c r="DW21" s="25" t="s">
        <v>56</v>
      </c>
    </row>
    <row r="22" spans="1:128" s="25" customFormat="1" ht="24.6" customHeight="1">
      <c r="A22" s="25">
        <v>19</v>
      </c>
      <c r="B22" s="25" t="s">
        <v>135</v>
      </c>
      <c r="C22" s="45">
        <v>678227820</v>
      </c>
      <c r="D22" s="25" t="s">
        <v>136</v>
      </c>
      <c r="E22" s="70"/>
      <c r="F22" s="70"/>
      <c r="G22" s="25">
        <v>5</v>
      </c>
      <c r="H22" s="25" t="s">
        <v>138</v>
      </c>
      <c r="I22" s="25" t="s">
        <v>56</v>
      </c>
      <c r="J22" s="26">
        <v>2000000</v>
      </c>
      <c r="K22" s="25" t="s">
        <v>137</v>
      </c>
      <c r="L22" s="25" t="s">
        <v>54</v>
      </c>
      <c r="M22" s="25">
        <v>5</v>
      </c>
      <c r="N22" s="25" t="s">
        <v>43</v>
      </c>
      <c r="O22" s="25" t="s">
        <v>56</v>
      </c>
      <c r="P22" s="25" t="s">
        <v>56</v>
      </c>
      <c r="Q22" s="25" t="s">
        <v>56</v>
      </c>
      <c r="R22" s="25" t="s">
        <v>56</v>
      </c>
      <c r="S22" s="25" t="s">
        <v>56</v>
      </c>
      <c r="T22" s="25" t="s">
        <v>56</v>
      </c>
      <c r="U22" s="25" t="s">
        <v>56</v>
      </c>
      <c r="V22" s="25" t="s">
        <v>56</v>
      </c>
      <c r="W22" s="25" t="s">
        <v>56</v>
      </c>
      <c r="X22" s="25" t="s">
        <v>56</v>
      </c>
      <c r="Y22" s="25" t="s">
        <v>56</v>
      </c>
      <c r="Z22" s="25" t="s">
        <v>56</v>
      </c>
      <c r="AA22" s="25" t="s">
        <v>56</v>
      </c>
      <c r="AB22" s="25" t="s">
        <v>56</v>
      </c>
      <c r="AC22" s="25" t="s">
        <v>56</v>
      </c>
      <c r="AD22" s="25" t="s">
        <v>56</v>
      </c>
      <c r="AE22" s="25" t="s">
        <v>56</v>
      </c>
      <c r="AF22" s="25" t="s">
        <v>56</v>
      </c>
      <c r="AG22" s="25" t="s">
        <v>56</v>
      </c>
      <c r="AH22" s="25" t="s">
        <v>56</v>
      </c>
      <c r="AI22" s="25" t="s">
        <v>56</v>
      </c>
      <c r="AJ22" s="25" t="s">
        <v>56</v>
      </c>
      <c r="AK22" s="25" t="s">
        <v>56</v>
      </c>
      <c r="AL22" s="25" t="s">
        <v>56</v>
      </c>
      <c r="AM22" s="25" t="s">
        <v>56</v>
      </c>
      <c r="AN22" s="25" t="s">
        <v>56</v>
      </c>
      <c r="AO22" s="25" t="s">
        <v>56</v>
      </c>
      <c r="AP22" s="25" t="s">
        <v>56</v>
      </c>
      <c r="AQ22" s="25" t="s">
        <v>56</v>
      </c>
      <c r="AR22" s="25" t="s">
        <v>56</v>
      </c>
      <c r="AS22" s="25" t="s">
        <v>56</v>
      </c>
      <c r="AT22" s="25" t="s">
        <v>56</v>
      </c>
      <c r="AU22" s="25" t="s">
        <v>56</v>
      </c>
      <c r="AV22" s="25" t="s">
        <v>56</v>
      </c>
      <c r="AW22" s="25" t="s">
        <v>56</v>
      </c>
      <c r="AX22" s="25" t="s">
        <v>56</v>
      </c>
      <c r="AY22" s="25" t="s">
        <v>56</v>
      </c>
      <c r="AZ22" s="25" t="s">
        <v>56</v>
      </c>
      <c r="BA22" s="25" t="s">
        <v>56</v>
      </c>
      <c r="BB22" s="25" t="s">
        <v>56</v>
      </c>
      <c r="BC22" s="25" t="s">
        <v>56</v>
      </c>
      <c r="BD22" s="25" t="s">
        <v>56</v>
      </c>
      <c r="BE22" s="25" t="s">
        <v>56</v>
      </c>
      <c r="BF22" s="25" t="s">
        <v>56</v>
      </c>
      <c r="BG22" s="25" t="s">
        <v>56</v>
      </c>
      <c r="BH22" s="25" t="s">
        <v>56</v>
      </c>
      <c r="BI22" s="25" t="s">
        <v>56</v>
      </c>
      <c r="BJ22" s="25" t="s">
        <v>56</v>
      </c>
      <c r="BK22" s="25" t="s">
        <v>56</v>
      </c>
      <c r="BL22" s="25" t="s">
        <v>56</v>
      </c>
      <c r="BM22" s="25" t="s">
        <v>56</v>
      </c>
      <c r="BN22" s="25" t="s">
        <v>56</v>
      </c>
      <c r="BO22" s="25" t="s">
        <v>56</v>
      </c>
      <c r="BP22" s="25" t="s">
        <v>56</v>
      </c>
      <c r="BQ22" s="25" t="s">
        <v>56</v>
      </c>
      <c r="BR22" s="25" t="s">
        <v>56</v>
      </c>
      <c r="BS22" s="25" t="s">
        <v>56</v>
      </c>
      <c r="BT22" s="25" t="s">
        <v>56</v>
      </c>
      <c r="BU22" s="25" t="s">
        <v>56</v>
      </c>
      <c r="BV22" s="12" t="s">
        <v>56</v>
      </c>
      <c r="BW22" s="12" t="s">
        <v>56</v>
      </c>
      <c r="BX22" s="12" t="s">
        <v>56</v>
      </c>
      <c r="BY22" s="12" t="s">
        <v>56</v>
      </c>
      <c r="BZ22" s="12" t="s">
        <v>56</v>
      </c>
      <c r="CA22" s="12" t="s">
        <v>56</v>
      </c>
      <c r="CB22" s="12" t="s">
        <v>56</v>
      </c>
      <c r="CC22" s="12" t="s">
        <v>56</v>
      </c>
      <c r="CD22" s="12" t="s">
        <v>56</v>
      </c>
      <c r="CE22" s="12" t="s">
        <v>56</v>
      </c>
      <c r="CF22" s="12" t="s">
        <v>56</v>
      </c>
      <c r="CG22" s="12" t="s">
        <v>56</v>
      </c>
      <c r="CH22" s="12" t="s">
        <v>56</v>
      </c>
      <c r="CI22" s="12" t="s">
        <v>56</v>
      </c>
      <c r="CJ22" s="12" t="s">
        <v>56</v>
      </c>
      <c r="CK22" s="12" t="s">
        <v>56</v>
      </c>
      <c r="CL22" s="12" t="s">
        <v>56</v>
      </c>
      <c r="CM22" s="25" t="s">
        <v>56</v>
      </c>
      <c r="CN22" s="25" t="s">
        <v>43</v>
      </c>
      <c r="CO22" s="25" t="s">
        <v>43</v>
      </c>
      <c r="CP22" s="25" t="s">
        <v>56</v>
      </c>
      <c r="CQ22" s="25" t="s">
        <v>43</v>
      </c>
      <c r="CR22" s="25" t="s">
        <v>43</v>
      </c>
      <c r="CS22" s="25" t="s">
        <v>56</v>
      </c>
      <c r="CT22" s="3" t="s">
        <v>43</v>
      </c>
      <c r="CU22" s="25" t="s">
        <v>43</v>
      </c>
      <c r="CV22" s="25" t="s">
        <v>43</v>
      </c>
      <c r="CW22" s="25" t="s">
        <v>43</v>
      </c>
      <c r="CX22" s="25" t="s">
        <v>43</v>
      </c>
      <c r="CY22" s="25" t="s">
        <v>43</v>
      </c>
      <c r="CZ22" s="25" t="s">
        <v>43</v>
      </c>
      <c r="DA22" s="25" t="s">
        <v>43</v>
      </c>
      <c r="DB22" s="25" t="s">
        <v>43</v>
      </c>
      <c r="DC22" s="25" t="s">
        <v>43</v>
      </c>
      <c r="DD22" s="25" t="s">
        <v>43</v>
      </c>
      <c r="DE22" s="25" t="s">
        <v>43</v>
      </c>
      <c r="DF22" s="25" t="s">
        <v>43</v>
      </c>
      <c r="DG22" s="25" t="s">
        <v>43</v>
      </c>
      <c r="DH22" s="25" t="s">
        <v>56</v>
      </c>
      <c r="DI22" s="25" t="s">
        <v>43</v>
      </c>
      <c r="DJ22" s="25" t="s">
        <v>43</v>
      </c>
      <c r="DK22" s="25" t="s">
        <v>56</v>
      </c>
      <c r="DL22" s="25" t="s">
        <v>43</v>
      </c>
      <c r="DM22" s="25" t="s">
        <v>43</v>
      </c>
      <c r="DN22" s="25" t="s">
        <v>43</v>
      </c>
      <c r="DO22" s="25" t="s">
        <v>43</v>
      </c>
      <c r="DP22" s="25" t="s">
        <v>43</v>
      </c>
      <c r="DQ22" s="25" t="s">
        <v>43</v>
      </c>
      <c r="DR22" s="25" t="s">
        <v>43</v>
      </c>
      <c r="DS22" s="25" t="s">
        <v>43</v>
      </c>
      <c r="DT22" s="25" t="s">
        <v>43</v>
      </c>
      <c r="DU22" s="25" t="s">
        <v>43</v>
      </c>
      <c r="DV22" s="25" t="s">
        <v>43</v>
      </c>
      <c r="DW22" s="25" t="s">
        <v>43</v>
      </c>
    </row>
    <row r="23" spans="1:128" s="25" customFormat="1" ht="24.6" customHeight="1">
      <c r="A23" s="25">
        <v>20</v>
      </c>
      <c r="B23" s="25" t="s">
        <v>139</v>
      </c>
      <c r="C23" s="45">
        <v>651942556</v>
      </c>
      <c r="D23" s="25" t="s">
        <v>136</v>
      </c>
      <c r="E23" s="70"/>
      <c r="F23" s="70"/>
      <c r="G23" s="25">
        <v>4</v>
      </c>
      <c r="H23" s="25" t="s">
        <v>140</v>
      </c>
      <c r="I23" s="25" t="s">
        <v>43</v>
      </c>
      <c r="J23" s="26">
        <v>1500000</v>
      </c>
      <c r="K23" s="25" t="s">
        <v>137</v>
      </c>
      <c r="L23" s="25" t="s">
        <v>54</v>
      </c>
      <c r="M23" s="25">
        <v>7</v>
      </c>
      <c r="N23" s="25" t="s">
        <v>43</v>
      </c>
      <c r="O23" s="25" t="s">
        <v>56</v>
      </c>
      <c r="P23" s="25" t="s">
        <v>56</v>
      </c>
      <c r="Q23" s="25" t="s">
        <v>56</v>
      </c>
      <c r="R23" s="25" t="s">
        <v>56</v>
      </c>
      <c r="S23" s="25" t="s">
        <v>56</v>
      </c>
      <c r="T23" s="25" t="s">
        <v>56</v>
      </c>
      <c r="U23" s="25" t="s">
        <v>56</v>
      </c>
      <c r="V23" s="25" t="s">
        <v>56</v>
      </c>
      <c r="W23" s="25" t="s">
        <v>56</v>
      </c>
      <c r="X23" s="25" t="s">
        <v>56</v>
      </c>
      <c r="Y23" s="25" t="s">
        <v>56</v>
      </c>
      <c r="Z23" s="25" t="s">
        <v>56</v>
      </c>
      <c r="AA23" s="25" t="s">
        <v>56</v>
      </c>
      <c r="AB23" s="25" t="s">
        <v>56</v>
      </c>
      <c r="AC23" s="25" t="s">
        <v>56</v>
      </c>
      <c r="AD23" s="25" t="s">
        <v>56</v>
      </c>
      <c r="AE23" s="25" t="s">
        <v>56</v>
      </c>
      <c r="AF23" s="25" t="s">
        <v>56</v>
      </c>
      <c r="AG23" s="25" t="s">
        <v>56</v>
      </c>
      <c r="AH23" s="25" t="s">
        <v>56</v>
      </c>
      <c r="AI23" s="25" t="s">
        <v>56</v>
      </c>
      <c r="AJ23" s="25" t="s">
        <v>56</v>
      </c>
      <c r="AK23" s="25" t="s">
        <v>56</v>
      </c>
      <c r="AL23" s="25" t="s">
        <v>56</v>
      </c>
      <c r="AM23" s="25" t="s">
        <v>56</v>
      </c>
      <c r="AN23" s="25" t="s">
        <v>56</v>
      </c>
      <c r="AO23" s="25" t="s">
        <v>56</v>
      </c>
      <c r="AP23" s="25" t="s">
        <v>56</v>
      </c>
      <c r="AQ23" s="25" t="s">
        <v>56</v>
      </c>
      <c r="AR23" s="25" t="s">
        <v>56</v>
      </c>
      <c r="AS23" s="25" t="s">
        <v>56</v>
      </c>
      <c r="AT23" s="25" t="s">
        <v>56</v>
      </c>
      <c r="AU23" s="25" t="s">
        <v>56</v>
      </c>
      <c r="AV23" s="25" t="s">
        <v>56</v>
      </c>
      <c r="AW23" s="25" t="s">
        <v>56</v>
      </c>
      <c r="AX23" s="25" t="s">
        <v>56</v>
      </c>
      <c r="AY23" s="25" t="s">
        <v>56</v>
      </c>
      <c r="AZ23" s="25" t="s">
        <v>56</v>
      </c>
      <c r="BA23" s="25" t="s">
        <v>56</v>
      </c>
      <c r="BB23" s="25" t="s">
        <v>56</v>
      </c>
      <c r="BC23" s="25" t="s">
        <v>56</v>
      </c>
      <c r="BD23" s="25" t="s">
        <v>56</v>
      </c>
      <c r="BE23" s="25" t="s">
        <v>56</v>
      </c>
      <c r="BF23" s="25" t="s">
        <v>56</v>
      </c>
      <c r="BG23" s="25" t="s">
        <v>56</v>
      </c>
      <c r="BH23" s="25" t="s">
        <v>56</v>
      </c>
      <c r="BI23" s="25" t="s">
        <v>56</v>
      </c>
      <c r="BJ23" s="25" t="s">
        <v>56</v>
      </c>
      <c r="BK23" s="25" t="s">
        <v>56</v>
      </c>
      <c r="BL23" s="25" t="s">
        <v>56</v>
      </c>
      <c r="BM23" s="25" t="s">
        <v>56</v>
      </c>
      <c r="BN23" s="25" t="s">
        <v>56</v>
      </c>
      <c r="BO23" s="25" t="s">
        <v>56</v>
      </c>
      <c r="BP23" s="25" t="s">
        <v>56</v>
      </c>
      <c r="BQ23" s="25" t="s">
        <v>56</v>
      </c>
      <c r="BR23" s="25" t="s">
        <v>56</v>
      </c>
      <c r="BS23" s="25" t="s">
        <v>56</v>
      </c>
      <c r="BT23" s="25" t="s">
        <v>56</v>
      </c>
      <c r="BU23" s="25" t="s">
        <v>56</v>
      </c>
      <c r="BV23" s="12" t="s">
        <v>56</v>
      </c>
      <c r="BW23" s="12" t="s">
        <v>56</v>
      </c>
      <c r="BX23" s="12" t="s">
        <v>56</v>
      </c>
      <c r="BY23" s="12" t="s">
        <v>56</v>
      </c>
      <c r="BZ23" s="12" t="s">
        <v>56</v>
      </c>
      <c r="CA23" s="12" t="s">
        <v>56</v>
      </c>
      <c r="CB23" s="12" t="s">
        <v>56</v>
      </c>
      <c r="CC23" s="12" t="s">
        <v>56</v>
      </c>
      <c r="CD23" s="12" t="s">
        <v>56</v>
      </c>
      <c r="CE23" s="12" t="s">
        <v>56</v>
      </c>
      <c r="CF23" s="12" t="s">
        <v>56</v>
      </c>
      <c r="CG23" s="12" t="s">
        <v>56</v>
      </c>
      <c r="CH23" s="12" t="s">
        <v>56</v>
      </c>
      <c r="CI23" s="12" t="s">
        <v>56</v>
      </c>
      <c r="CJ23" s="12" t="s">
        <v>56</v>
      </c>
      <c r="CK23" s="12" t="s">
        <v>56</v>
      </c>
      <c r="CL23" s="12" t="s">
        <v>56</v>
      </c>
      <c r="CM23" s="25" t="s">
        <v>56</v>
      </c>
      <c r="CN23" s="25" t="s">
        <v>43</v>
      </c>
      <c r="CO23" s="25" t="s">
        <v>43</v>
      </c>
      <c r="CP23" s="25" t="s">
        <v>43</v>
      </c>
      <c r="CQ23" s="25" t="s">
        <v>43</v>
      </c>
      <c r="CR23" s="25" t="s">
        <v>43</v>
      </c>
      <c r="CS23" s="25" t="s">
        <v>43</v>
      </c>
      <c r="CT23" s="3" t="s">
        <v>43</v>
      </c>
      <c r="CU23" s="25" t="s">
        <v>43</v>
      </c>
      <c r="CV23" s="25" t="s">
        <v>43</v>
      </c>
      <c r="CW23" s="25" t="s">
        <v>43</v>
      </c>
      <c r="CX23" s="25" t="s">
        <v>43</v>
      </c>
      <c r="CY23" s="25" t="s">
        <v>43</v>
      </c>
      <c r="CZ23" s="25" t="s">
        <v>43</v>
      </c>
      <c r="DA23" s="25" t="s">
        <v>43</v>
      </c>
      <c r="DB23" s="25" t="s">
        <v>43</v>
      </c>
      <c r="DC23" s="25" t="s">
        <v>43</v>
      </c>
      <c r="DD23" s="25" t="s">
        <v>43</v>
      </c>
      <c r="DE23" s="25" t="s">
        <v>43</v>
      </c>
      <c r="DF23" s="25" t="s">
        <v>56</v>
      </c>
      <c r="DG23" s="25" t="s">
        <v>56</v>
      </c>
      <c r="DH23" s="25" t="s">
        <v>56</v>
      </c>
      <c r="DI23" s="25" t="s">
        <v>56</v>
      </c>
      <c r="DJ23" s="25" t="s">
        <v>56</v>
      </c>
      <c r="DK23" s="25" t="s">
        <v>56</v>
      </c>
      <c r="DL23" s="25" t="s">
        <v>56</v>
      </c>
      <c r="DM23" s="25" t="s">
        <v>56</v>
      </c>
      <c r="DN23" s="25" t="s">
        <v>56</v>
      </c>
      <c r="DO23" s="25" t="s">
        <v>56</v>
      </c>
      <c r="DP23" s="25" t="s">
        <v>56</v>
      </c>
      <c r="DQ23" s="25" t="s">
        <v>56</v>
      </c>
      <c r="DR23" s="25" t="s">
        <v>56</v>
      </c>
      <c r="DS23" s="25" t="s">
        <v>56</v>
      </c>
      <c r="DT23" s="25" t="s">
        <v>56</v>
      </c>
      <c r="DU23" s="25" t="s">
        <v>56</v>
      </c>
      <c r="DV23" s="25" t="s">
        <v>56</v>
      </c>
      <c r="DW23" s="25" t="s">
        <v>56</v>
      </c>
    </row>
    <row r="24" spans="1:128" s="25" customFormat="1" ht="24.6" customHeight="1">
      <c r="A24" s="25">
        <v>21</v>
      </c>
      <c r="B24" s="25" t="s">
        <v>141</v>
      </c>
      <c r="C24" s="45">
        <v>677750389</v>
      </c>
      <c r="D24" s="25" t="s">
        <v>142</v>
      </c>
      <c r="E24" s="70"/>
      <c r="F24" s="70"/>
      <c r="G24" s="25">
        <v>6</v>
      </c>
      <c r="H24" s="25" t="s">
        <v>143</v>
      </c>
      <c r="I24" s="25" t="s">
        <v>56</v>
      </c>
      <c r="J24" s="26">
        <v>6000000</v>
      </c>
      <c r="K24" s="25" t="s">
        <v>137</v>
      </c>
      <c r="L24" s="25" t="s">
        <v>54</v>
      </c>
      <c r="M24" s="25">
        <v>2</v>
      </c>
      <c r="N24" s="25" t="s">
        <v>43</v>
      </c>
      <c r="O24" s="25" t="s">
        <v>56</v>
      </c>
      <c r="P24" s="25" t="s">
        <v>56</v>
      </c>
      <c r="Q24" s="25" t="s">
        <v>56</v>
      </c>
      <c r="R24" s="25" t="s">
        <v>56</v>
      </c>
      <c r="S24" s="25" t="s">
        <v>56</v>
      </c>
      <c r="T24" s="25" t="s">
        <v>56</v>
      </c>
      <c r="U24" s="25" t="s">
        <v>56</v>
      </c>
      <c r="V24" s="25" t="s">
        <v>56</v>
      </c>
      <c r="W24" s="25" t="s">
        <v>56</v>
      </c>
      <c r="X24" s="25" t="s">
        <v>56</v>
      </c>
      <c r="Y24" s="25" t="s">
        <v>56</v>
      </c>
      <c r="Z24" s="25" t="s">
        <v>56</v>
      </c>
      <c r="AA24" s="25" t="s">
        <v>56</v>
      </c>
      <c r="AB24" s="25" t="s">
        <v>56</v>
      </c>
      <c r="AC24" s="25" t="s">
        <v>56</v>
      </c>
      <c r="AD24" s="25" t="s">
        <v>56</v>
      </c>
      <c r="AE24" s="25" t="s">
        <v>56</v>
      </c>
      <c r="AF24" s="25" t="s">
        <v>56</v>
      </c>
      <c r="AG24" s="25" t="s">
        <v>56</v>
      </c>
      <c r="AH24" s="25" t="s">
        <v>56</v>
      </c>
      <c r="AI24" s="25" t="s">
        <v>56</v>
      </c>
      <c r="AJ24" s="25" t="s">
        <v>56</v>
      </c>
      <c r="AK24" s="25" t="s">
        <v>56</v>
      </c>
      <c r="AL24" s="25" t="s">
        <v>56</v>
      </c>
      <c r="AM24" s="25" t="s">
        <v>56</v>
      </c>
      <c r="AN24" s="25" t="s">
        <v>56</v>
      </c>
      <c r="AO24" s="25" t="s">
        <v>56</v>
      </c>
      <c r="AP24" s="25" t="s">
        <v>56</v>
      </c>
      <c r="AQ24" s="25" t="s">
        <v>56</v>
      </c>
      <c r="AR24" s="25" t="s">
        <v>56</v>
      </c>
      <c r="AS24" s="25" t="s">
        <v>56</v>
      </c>
      <c r="AT24" s="25" t="s">
        <v>56</v>
      </c>
      <c r="AU24" s="25" t="s">
        <v>56</v>
      </c>
      <c r="AV24" s="25" t="s">
        <v>56</v>
      </c>
      <c r="AW24" s="25" t="s">
        <v>56</v>
      </c>
      <c r="AX24" s="25" t="s">
        <v>56</v>
      </c>
      <c r="AY24" s="25" t="s">
        <v>56</v>
      </c>
      <c r="AZ24" s="25" t="s">
        <v>56</v>
      </c>
      <c r="BA24" s="25" t="s">
        <v>56</v>
      </c>
      <c r="BB24" s="25" t="s">
        <v>56</v>
      </c>
      <c r="BC24" s="25" t="s">
        <v>56</v>
      </c>
      <c r="BD24" s="25" t="s">
        <v>56</v>
      </c>
      <c r="BE24" s="25" t="s">
        <v>56</v>
      </c>
      <c r="BF24" s="25" t="s">
        <v>56</v>
      </c>
      <c r="BG24" s="25" t="s">
        <v>56</v>
      </c>
      <c r="BH24" s="25" t="s">
        <v>56</v>
      </c>
      <c r="BI24" s="25" t="s">
        <v>56</v>
      </c>
      <c r="BJ24" s="25" t="s">
        <v>56</v>
      </c>
      <c r="BK24" s="25" t="s">
        <v>56</v>
      </c>
      <c r="BL24" s="25" t="s">
        <v>56</v>
      </c>
      <c r="BM24" s="25" t="s">
        <v>56</v>
      </c>
      <c r="BN24" s="25" t="s">
        <v>56</v>
      </c>
      <c r="BO24" s="25" t="s">
        <v>56</v>
      </c>
      <c r="BP24" s="25" t="s">
        <v>56</v>
      </c>
      <c r="BQ24" s="25" t="s">
        <v>56</v>
      </c>
      <c r="BR24" s="25" t="s">
        <v>56</v>
      </c>
      <c r="BS24" s="25" t="s">
        <v>56</v>
      </c>
      <c r="BT24" s="25" t="s">
        <v>56</v>
      </c>
      <c r="BU24" s="25" t="s">
        <v>56</v>
      </c>
      <c r="BV24" s="12" t="s">
        <v>56</v>
      </c>
      <c r="BW24" s="12" t="s">
        <v>56</v>
      </c>
      <c r="BX24" s="12" t="s">
        <v>56</v>
      </c>
      <c r="BY24" s="12" t="s">
        <v>56</v>
      </c>
      <c r="BZ24" s="12" t="s">
        <v>56</v>
      </c>
      <c r="CA24" s="12" t="s">
        <v>56</v>
      </c>
      <c r="CB24" s="12" t="s">
        <v>56</v>
      </c>
      <c r="CC24" s="12" t="s">
        <v>56</v>
      </c>
      <c r="CD24" s="12" t="s">
        <v>56</v>
      </c>
      <c r="CE24" s="12" t="s">
        <v>56</v>
      </c>
      <c r="CF24" s="12" t="s">
        <v>56</v>
      </c>
      <c r="CG24" s="12" t="s">
        <v>56</v>
      </c>
      <c r="CH24" s="12" t="s">
        <v>56</v>
      </c>
      <c r="CI24" s="12" t="s">
        <v>56</v>
      </c>
      <c r="CJ24" s="12" t="s">
        <v>56</v>
      </c>
      <c r="CK24" s="12" t="s">
        <v>56</v>
      </c>
      <c r="CL24" s="12" t="s">
        <v>56</v>
      </c>
      <c r="CM24" s="25" t="s">
        <v>56</v>
      </c>
      <c r="CN24" s="25" t="s">
        <v>43</v>
      </c>
      <c r="CO24" s="25" t="s">
        <v>43</v>
      </c>
      <c r="CP24" s="25" t="s">
        <v>43</v>
      </c>
      <c r="CQ24" s="25" t="s">
        <v>43</v>
      </c>
      <c r="CR24" s="25" t="s">
        <v>43</v>
      </c>
      <c r="CS24" s="25" t="s">
        <v>43</v>
      </c>
      <c r="CT24" s="3" t="s">
        <v>43</v>
      </c>
      <c r="CU24" s="25" t="s">
        <v>43</v>
      </c>
      <c r="CV24" s="25" t="s">
        <v>43</v>
      </c>
      <c r="CW24" s="25" t="s">
        <v>43</v>
      </c>
      <c r="CX24" s="25" t="s">
        <v>43</v>
      </c>
      <c r="CY24" s="25" t="s">
        <v>43</v>
      </c>
      <c r="CZ24" s="25" t="s">
        <v>43</v>
      </c>
      <c r="DA24" s="25" t="s">
        <v>43</v>
      </c>
      <c r="DB24" s="25" t="s">
        <v>43</v>
      </c>
      <c r="DC24" s="25" t="s">
        <v>43</v>
      </c>
      <c r="DD24" s="25" t="s">
        <v>43</v>
      </c>
      <c r="DE24" s="25" t="s">
        <v>43</v>
      </c>
      <c r="DF24" s="25" t="s">
        <v>43</v>
      </c>
      <c r="DG24" s="25" t="s">
        <v>43</v>
      </c>
      <c r="DH24" s="25" t="s">
        <v>43</v>
      </c>
      <c r="DI24" s="25" t="s">
        <v>43</v>
      </c>
      <c r="DJ24" s="25" t="s">
        <v>43</v>
      </c>
      <c r="DK24" s="25" t="s">
        <v>43</v>
      </c>
      <c r="DL24" s="25" t="s">
        <v>43</v>
      </c>
      <c r="DM24" s="25" t="s">
        <v>43</v>
      </c>
      <c r="DN24" s="25" t="s">
        <v>43</v>
      </c>
      <c r="DO24" s="25" t="s">
        <v>43</v>
      </c>
      <c r="DP24" s="25" t="s">
        <v>43</v>
      </c>
      <c r="DQ24" s="25" t="s">
        <v>43</v>
      </c>
      <c r="DR24" s="25" t="s">
        <v>43</v>
      </c>
      <c r="DS24" s="25" t="s">
        <v>43</v>
      </c>
      <c r="DT24" s="25" t="s">
        <v>43</v>
      </c>
      <c r="DU24" s="25" t="s">
        <v>43</v>
      </c>
      <c r="DV24" s="25" t="s">
        <v>43</v>
      </c>
      <c r="DW24" s="25" t="s">
        <v>43</v>
      </c>
    </row>
    <row r="25" spans="1:128" s="25" customFormat="1" ht="24.6" customHeight="1">
      <c r="A25" s="25">
        <v>22</v>
      </c>
      <c r="B25" s="25" t="s">
        <v>144</v>
      </c>
      <c r="C25" s="45" t="s">
        <v>126</v>
      </c>
      <c r="D25" s="25" t="s">
        <v>145</v>
      </c>
      <c r="E25" s="70"/>
      <c r="F25" s="70"/>
      <c r="G25" s="25">
        <v>15</v>
      </c>
      <c r="H25" s="25" t="s">
        <v>148</v>
      </c>
      <c r="I25" s="25" t="s">
        <v>56</v>
      </c>
      <c r="J25" s="26">
        <v>5000000</v>
      </c>
      <c r="K25" s="25" t="s">
        <v>137</v>
      </c>
      <c r="L25" s="25" t="s">
        <v>146</v>
      </c>
      <c r="M25" s="25">
        <v>3</v>
      </c>
      <c r="N25" s="25" t="s">
        <v>43</v>
      </c>
      <c r="O25" s="25" t="s">
        <v>56</v>
      </c>
      <c r="P25" s="25" t="s">
        <v>56</v>
      </c>
      <c r="Q25" s="25" t="s">
        <v>56</v>
      </c>
      <c r="R25" s="25" t="s">
        <v>147</v>
      </c>
      <c r="S25" s="25" t="s">
        <v>56</v>
      </c>
      <c r="T25" s="25" t="s">
        <v>56</v>
      </c>
      <c r="U25" s="25" t="s">
        <v>56</v>
      </c>
      <c r="V25" s="25" t="s">
        <v>56</v>
      </c>
      <c r="W25" s="25" t="s">
        <v>56</v>
      </c>
      <c r="X25" s="25" t="s">
        <v>56</v>
      </c>
      <c r="Y25" s="25" t="s">
        <v>56</v>
      </c>
      <c r="Z25" s="25" t="s">
        <v>56</v>
      </c>
      <c r="AA25" s="25" t="s">
        <v>43</v>
      </c>
      <c r="AB25" s="25" t="s">
        <v>43</v>
      </c>
      <c r="AC25" s="25" t="s">
        <v>43</v>
      </c>
      <c r="AD25" s="25" t="s">
        <v>43</v>
      </c>
      <c r="AE25" s="25" t="s">
        <v>43</v>
      </c>
      <c r="AF25" s="25" t="s">
        <v>43</v>
      </c>
      <c r="AG25" s="25" t="s">
        <v>43</v>
      </c>
      <c r="AH25" s="25" t="s">
        <v>43</v>
      </c>
      <c r="AI25" s="25" t="s">
        <v>43</v>
      </c>
      <c r="AJ25" s="25" t="s">
        <v>43</v>
      </c>
      <c r="AK25" s="25" t="s">
        <v>43</v>
      </c>
      <c r="AL25" s="25" t="s">
        <v>43</v>
      </c>
      <c r="AM25" s="25" t="s">
        <v>43</v>
      </c>
      <c r="AN25" s="25" t="s">
        <v>43</v>
      </c>
      <c r="AO25" s="25" t="s">
        <v>56</v>
      </c>
      <c r="AP25" s="25" t="s">
        <v>56</v>
      </c>
      <c r="AQ25" s="25" t="s">
        <v>43</v>
      </c>
      <c r="AR25" s="25" t="s">
        <v>43</v>
      </c>
      <c r="AS25" s="25" t="s">
        <v>56</v>
      </c>
      <c r="AT25" s="25" t="s">
        <v>56</v>
      </c>
      <c r="AU25" s="25" t="s">
        <v>56</v>
      </c>
      <c r="AV25" s="25" t="s">
        <v>56</v>
      </c>
      <c r="AW25" s="25" t="s">
        <v>43</v>
      </c>
      <c r="AX25" s="25" t="s">
        <v>43</v>
      </c>
      <c r="AY25" s="25" t="s">
        <v>43</v>
      </c>
      <c r="AZ25" s="25" t="s">
        <v>43</v>
      </c>
      <c r="BA25" s="25" t="s">
        <v>43</v>
      </c>
      <c r="BB25" s="25" t="s">
        <v>43</v>
      </c>
      <c r="BC25" s="25" t="s">
        <v>43</v>
      </c>
      <c r="BD25" s="25" t="s">
        <v>43</v>
      </c>
      <c r="BE25" s="25" t="s">
        <v>43</v>
      </c>
      <c r="BF25" s="25" t="s">
        <v>43</v>
      </c>
      <c r="BG25" s="25" t="s">
        <v>43</v>
      </c>
      <c r="BH25" s="25" t="s">
        <v>43</v>
      </c>
      <c r="BI25" s="25" t="s">
        <v>56</v>
      </c>
      <c r="BJ25" s="25" t="s">
        <v>56</v>
      </c>
      <c r="BK25" s="25" t="s">
        <v>56</v>
      </c>
      <c r="BL25" s="25" t="s">
        <v>56</v>
      </c>
      <c r="BM25" s="25" t="s">
        <v>56</v>
      </c>
      <c r="BN25" s="25" t="s">
        <v>43</v>
      </c>
      <c r="BO25" s="25" t="s">
        <v>43</v>
      </c>
      <c r="BP25" s="25" t="s">
        <v>43</v>
      </c>
      <c r="BQ25" s="25" t="s">
        <v>56</v>
      </c>
      <c r="BR25" s="25" t="s">
        <v>56</v>
      </c>
      <c r="BS25" s="25" t="s">
        <v>43</v>
      </c>
      <c r="BT25" s="25" t="s">
        <v>43</v>
      </c>
      <c r="BU25" s="25" t="s">
        <v>43</v>
      </c>
      <c r="BV25" s="12" t="s">
        <v>43</v>
      </c>
      <c r="BW25" s="12" t="s">
        <v>56</v>
      </c>
      <c r="BX25" s="12" t="s">
        <v>43</v>
      </c>
      <c r="BY25" s="12" t="s">
        <v>56</v>
      </c>
      <c r="BZ25" s="12" t="s">
        <v>43</v>
      </c>
      <c r="CA25" s="12" t="s">
        <v>43</v>
      </c>
      <c r="CB25" s="12" t="s">
        <v>43</v>
      </c>
      <c r="CC25" s="12" t="s">
        <v>43</v>
      </c>
      <c r="CD25" s="12" t="s">
        <v>56</v>
      </c>
      <c r="CE25" s="12" t="s">
        <v>56</v>
      </c>
      <c r="CF25" s="12" t="s">
        <v>43</v>
      </c>
      <c r="CG25" s="12" t="s">
        <v>43</v>
      </c>
      <c r="CH25" s="12" t="s">
        <v>43</v>
      </c>
      <c r="CI25" s="12" t="s">
        <v>56</v>
      </c>
      <c r="CJ25" s="12" t="s">
        <v>56</v>
      </c>
      <c r="CK25" s="12" t="s">
        <v>43</v>
      </c>
      <c r="CL25" s="12" t="s">
        <v>43</v>
      </c>
      <c r="CM25" s="25" t="s">
        <v>43</v>
      </c>
      <c r="CN25" s="25" t="s">
        <v>43</v>
      </c>
      <c r="CO25" s="25" t="s">
        <v>43</v>
      </c>
      <c r="CP25" s="25" t="s">
        <v>43</v>
      </c>
      <c r="CQ25" s="25" t="s">
        <v>56</v>
      </c>
      <c r="CR25" s="25" t="s">
        <v>43</v>
      </c>
      <c r="CS25" s="25" t="s">
        <v>43</v>
      </c>
      <c r="CT25" s="3" t="s">
        <v>43</v>
      </c>
      <c r="CU25" s="25" t="s">
        <v>43</v>
      </c>
      <c r="CV25" s="25" t="s">
        <v>56</v>
      </c>
      <c r="CW25" s="25" t="s">
        <v>56</v>
      </c>
      <c r="CX25" s="25" t="s">
        <v>43</v>
      </c>
      <c r="CY25" s="25" t="s">
        <v>43</v>
      </c>
      <c r="CZ25" s="25" t="s">
        <v>43</v>
      </c>
      <c r="DA25" s="25" t="s">
        <v>56</v>
      </c>
      <c r="DB25" s="25" t="s">
        <v>56</v>
      </c>
      <c r="DC25" s="25" t="s">
        <v>43</v>
      </c>
      <c r="DD25" s="25" t="s">
        <v>43</v>
      </c>
      <c r="DE25" s="25" t="s">
        <v>43</v>
      </c>
      <c r="DF25" s="25" t="s">
        <v>43</v>
      </c>
      <c r="DG25" s="25" t="s">
        <v>43</v>
      </c>
      <c r="DH25" s="25" t="s">
        <v>43</v>
      </c>
      <c r="DI25" s="25" t="s">
        <v>56</v>
      </c>
      <c r="DJ25" s="25" t="s">
        <v>43</v>
      </c>
      <c r="DK25" s="25" t="s">
        <v>43</v>
      </c>
      <c r="DL25" s="25" t="s">
        <v>43</v>
      </c>
      <c r="DM25" s="25" t="s">
        <v>43</v>
      </c>
      <c r="DN25" s="25" t="s">
        <v>56</v>
      </c>
      <c r="DO25" s="25" t="s">
        <v>56</v>
      </c>
      <c r="DP25" s="25" t="s">
        <v>43</v>
      </c>
      <c r="DQ25" s="25" t="s">
        <v>43</v>
      </c>
      <c r="DR25" s="25" t="s">
        <v>43</v>
      </c>
      <c r="DS25" s="25" t="s">
        <v>56</v>
      </c>
      <c r="DT25" s="25" t="s">
        <v>56</v>
      </c>
      <c r="DU25" s="25" t="s">
        <v>43</v>
      </c>
      <c r="DV25" s="25" t="s">
        <v>43</v>
      </c>
      <c r="DW25" s="25" t="s">
        <v>43</v>
      </c>
      <c r="DX25" s="25" t="s">
        <v>120</v>
      </c>
    </row>
    <row r="26" spans="1:128" s="25" customFormat="1" ht="24.6" customHeight="1">
      <c r="A26" s="25">
        <v>23</v>
      </c>
      <c r="B26" s="25" t="s">
        <v>152</v>
      </c>
      <c r="C26" s="45">
        <v>690767345</v>
      </c>
      <c r="D26" s="25" t="s">
        <v>155</v>
      </c>
      <c r="E26" s="70"/>
      <c r="F26" s="70"/>
      <c r="G26" s="25">
        <v>3</v>
      </c>
      <c r="H26" s="25" t="s">
        <v>156</v>
      </c>
      <c r="I26" s="25" t="s">
        <v>56</v>
      </c>
      <c r="J26" s="26">
        <v>700000</v>
      </c>
      <c r="K26" s="25" t="s">
        <v>153</v>
      </c>
      <c r="L26" s="25" t="s">
        <v>154</v>
      </c>
      <c r="M26" s="25">
        <v>1</v>
      </c>
      <c r="N26" s="25" t="s">
        <v>43</v>
      </c>
      <c r="O26" s="25" t="s">
        <v>43</v>
      </c>
      <c r="P26" s="25" t="s">
        <v>56</v>
      </c>
      <c r="Q26" s="25" t="s">
        <v>56</v>
      </c>
      <c r="R26" s="25" t="s">
        <v>56</v>
      </c>
      <c r="S26" s="25" t="s">
        <v>56</v>
      </c>
      <c r="T26" s="25" t="s">
        <v>56</v>
      </c>
      <c r="U26" s="25" t="s">
        <v>56</v>
      </c>
      <c r="V26" s="25" t="s">
        <v>56</v>
      </c>
      <c r="W26" s="25" t="s">
        <v>56</v>
      </c>
      <c r="X26" s="25" t="s">
        <v>56</v>
      </c>
      <c r="Y26" s="25" t="s">
        <v>56</v>
      </c>
      <c r="Z26" s="25" t="s">
        <v>56</v>
      </c>
      <c r="AA26" s="25" t="s">
        <v>56</v>
      </c>
      <c r="AB26" s="25" t="s">
        <v>56</v>
      </c>
      <c r="AC26" s="25" t="s">
        <v>56</v>
      </c>
      <c r="AD26" s="25" t="s">
        <v>56</v>
      </c>
      <c r="AE26" s="25" t="s">
        <v>56</v>
      </c>
      <c r="AF26" s="25" t="s">
        <v>56</v>
      </c>
      <c r="AG26" s="25" t="s">
        <v>56</v>
      </c>
      <c r="AH26" s="25" t="s">
        <v>56</v>
      </c>
      <c r="AI26" s="25" t="s">
        <v>56</v>
      </c>
      <c r="AJ26" s="25" t="s">
        <v>56</v>
      </c>
      <c r="AK26" s="25" t="s">
        <v>56</v>
      </c>
      <c r="AL26" s="25" t="s">
        <v>56</v>
      </c>
      <c r="AM26" s="25" t="s">
        <v>56</v>
      </c>
      <c r="AN26" s="25" t="s">
        <v>56</v>
      </c>
      <c r="AO26" s="25" t="s">
        <v>56</v>
      </c>
      <c r="AP26" s="25" t="s">
        <v>56</v>
      </c>
      <c r="AQ26" s="25" t="s">
        <v>56</v>
      </c>
      <c r="AR26" s="25" t="s">
        <v>56</v>
      </c>
      <c r="AS26" s="25" t="s">
        <v>56</v>
      </c>
      <c r="AT26" s="25" t="s">
        <v>56</v>
      </c>
      <c r="AU26" s="25" t="s">
        <v>56</v>
      </c>
      <c r="AV26" s="25" t="s">
        <v>56</v>
      </c>
      <c r="AW26" s="25" t="s">
        <v>56</v>
      </c>
      <c r="AX26" s="25" t="s">
        <v>56</v>
      </c>
      <c r="AY26" s="25" t="s">
        <v>56</v>
      </c>
      <c r="AZ26" s="25" t="s">
        <v>56</v>
      </c>
      <c r="BA26" s="25" t="s">
        <v>56</v>
      </c>
      <c r="BB26" s="25" t="s">
        <v>56</v>
      </c>
      <c r="BC26" s="25" t="s">
        <v>56</v>
      </c>
      <c r="BD26" s="25" t="s">
        <v>43</v>
      </c>
      <c r="BE26" s="25" t="s">
        <v>43</v>
      </c>
      <c r="BF26" s="25" t="s">
        <v>56</v>
      </c>
      <c r="BG26" s="25" t="s">
        <v>56</v>
      </c>
      <c r="BH26" s="25" t="s">
        <v>56</v>
      </c>
      <c r="BI26" s="25" t="s">
        <v>43</v>
      </c>
      <c r="BJ26" s="25" t="s">
        <v>43</v>
      </c>
      <c r="BK26" s="25" t="s">
        <v>43</v>
      </c>
      <c r="BL26" s="25" t="s">
        <v>43</v>
      </c>
      <c r="BM26" s="25" t="s">
        <v>43</v>
      </c>
      <c r="BN26" s="25" t="s">
        <v>43</v>
      </c>
      <c r="BO26" s="25" t="s">
        <v>43</v>
      </c>
      <c r="BP26" s="25" t="s">
        <v>43</v>
      </c>
      <c r="BQ26" s="25" t="s">
        <v>43</v>
      </c>
      <c r="BR26" s="25" t="s">
        <v>43</v>
      </c>
      <c r="BS26" s="25" t="s">
        <v>43</v>
      </c>
      <c r="BT26" s="25" t="s">
        <v>43</v>
      </c>
      <c r="BU26" s="25" t="s">
        <v>43</v>
      </c>
      <c r="BV26" s="12" t="s">
        <v>56</v>
      </c>
      <c r="BW26" s="12" t="s">
        <v>56</v>
      </c>
      <c r="BX26" s="12" t="s">
        <v>56</v>
      </c>
      <c r="BY26" s="12" t="s">
        <v>56</v>
      </c>
      <c r="BZ26" s="12" t="s">
        <v>56</v>
      </c>
      <c r="CA26" s="12" t="s">
        <v>56</v>
      </c>
      <c r="CB26" s="12" t="s">
        <v>56</v>
      </c>
      <c r="CC26" s="12" t="s">
        <v>56</v>
      </c>
      <c r="CD26" s="12" t="s">
        <v>56</v>
      </c>
      <c r="CE26" s="12" t="s">
        <v>56</v>
      </c>
      <c r="CF26" s="12" t="s">
        <v>56</v>
      </c>
      <c r="CG26" s="12" t="s">
        <v>56</v>
      </c>
      <c r="CH26" s="12" t="s">
        <v>56</v>
      </c>
      <c r="CI26" s="12" t="s">
        <v>56</v>
      </c>
      <c r="CJ26" s="12" t="s">
        <v>56</v>
      </c>
      <c r="CK26" s="12" t="s">
        <v>56</v>
      </c>
      <c r="CL26" s="12" t="s">
        <v>56</v>
      </c>
      <c r="CM26" s="12" t="s">
        <v>56</v>
      </c>
      <c r="CN26" s="12" t="s">
        <v>56</v>
      </c>
      <c r="CO26" s="12" t="s">
        <v>56</v>
      </c>
      <c r="CP26" s="12" t="s">
        <v>56</v>
      </c>
      <c r="CQ26" s="12" t="s">
        <v>56</v>
      </c>
      <c r="CR26" s="12" t="s">
        <v>56</v>
      </c>
      <c r="CS26" s="12" t="s">
        <v>56</v>
      </c>
      <c r="CT26" s="12" t="s">
        <v>56</v>
      </c>
      <c r="CU26" s="12" t="s">
        <v>56</v>
      </c>
      <c r="CV26" s="12" t="s">
        <v>56</v>
      </c>
      <c r="CW26" s="12" t="s">
        <v>56</v>
      </c>
      <c r="CX26" s="12" t="s">
        <v>56</v>
      </c>
      <c r="CY26" s="12" t="s">
        <v>56</v>
      </c>
      <c r="CZ26" s="12" t="s">
        <v>56</v>
      </c>
      <c r="DA26" s="12" t="s">
        <v>56</v>
      </c>
      <c r="DB26" s="12" t="s">
        <v>56</v>
      </c>
      <c r="DC26" s="12" t="s">
        <v>56</v>
      </c>
      <c r="DD26" s="12" t="s">
        <v>56</v>
      </c>
      <c r="DE26" s="12" t="s">
        <v>56</v>
      </c>
      <c r="DF26" s="12" t="s">
        <v>56</v>
      </c>
      <c r="DG26" s="12" t="s">
        <v>56</v>
      </c>
      <c r="DH26" s="12" t="s">
        <v>56</v>
      </c>
      <c r="DI26" s="12" t="s">
        <v>56</v>
      </c>
      <c r="DJ26" s="12" t="s">
        <v>56</v>
      </c>
      <c r="DK26" s="12" t="s">
        <v>56</v>
      </c>
      <c r="DL26" s="12" t="s">
        <v>56</v>
      </c>
      <c r="DM26" s="12" t="s">
        <v>56</v>
      </c>
      <c r="DN26" s="12" t="s">
        <v>56</v>
      </c>
      <c r="DO26" s="12" t="s">
        <v>56</v>
      </c>
      <c r="DP26" s="12" t="s">
        <v>56</v>
      </c>
      <c r="DQ26" s="12" t="s">
        <v>56</v>
      </c>
      <c r="DR26" s="12" t="s">
        <v>56</v>
      </c>
      <c r="DS26" s="12" t="s">
        <v>56</v>
      </c>
      <c r="DT26" s="12" t="s">
        <v>56</v>
      </c>
      <c r="DU26" s="12" t="s">
        <v>56</v>
      </c>
      <c r="DV26" s="12" t="s">
        <v>56</v>
      </c>
      <c r="DW26" s="12" t="s">
        <v>56</v>
      </c>
    </row>
    <row r="27" spans="1:128" s="25" customFormat="1" ht="24.6" customHeight="1">
      <c r="A27" s="25">
        <v>24</v>
      </c>
      <c r="B27" s="29" t="s">
        <v>157</v>
      </c>
      <c r="C27" s="45">
        <v>697324852</v>
      </c>
      <c r="D27" s="25" t="s">
        <v>160</v>
      </c>
      <c r="E27" s="70"/>
      <c r="F27" s="70"/>
      <c r="G27" s="25">
        <v>14</v>
      </c>
      <c r="H27" s="25" t="s">
        <v>159</v>
      </c>
      <c r="I27" s="25" t="s">
        <v>56</v>
      </c>
      <c r="J27" s="26">
        <v>500000</v>
      </c>
      <c r="K27" s="25" t="s">
        <v>137</v>
      </c>
      <c r="L27" s="25" t="s">
        <v>158</v>
      </c>
      <c r="M27" s="25">
        <v>5</v>
      </c>
      <c r="N27" s="25" t="s">
        <v>43</v>
      </c>
      <c r="O27" s="25" t="s">
        <v>56</v>
      </c>
      <c r="P27" s="25" t="s">
        <v>56</v>
      </c>
      <c r="Q27" s="25" t="s">
        <v>56</v>
      </c>
      <c r="R27" s="25" t="s">
        <v>56</v>
      </c>
      <c r="S27" s="25" t="s">
        <v>56</v>
      </c>
      <c r="T27" s="25" t="s">
        <v>56</v>
      </c>
      <c r="U27" s="25" t="s">
        <v>56</v>
      </c>
      <c r="V27" s="25" t="s">
        <v>56</v>
      </c>
      <c r="W27" s="25" t="s">
        <v>56</v>
      </c>
      <c r="X27" s="25" t="s">
        <v>56</v>
      </c>
      <c r="Y27" s="25" t="s">
        <v>56</v>
      </c>
      <c r="Z27" s="25" t="s">
        <v>56</v>
      </c>
      <c r="AA27" s="25" t="s">
        <v>56</v>
      </c>
      <c r="AB27" s="25" t="s">
        <v>56</v>
      </c>
      <c r="AC27" s="25" t="s">
        <v>56</v>
      </c>
      <c r="AD27" s="25" t="s">
        <v>56</v>
      </c>
      <c r="AE27" s="25" t="s">
        <v>56</v>
      </c>
      <c r="AF27" s="25" t="s">
        <v>56</v>
      </c>
      <c r="AG27" s="25" t="s">
        <v>56</v>
      </c>
      <c r="AH27" s="25" t="s">
        <v>56</v>
      </c>
      <c r="AI27" s="25" t="s">
        <v>56</v>
      </c>
      <c r="AJ27" s="25" t="s">
        <v>56</v>
      </c>
      <c r="AK27" s="25" t="s">
        <v>56</v>
      </c>
      <c r="AL27" s="25" t="s">
        <v>43</v>
      </c>
      <c r="AM27" s="25" t="s">
        <v>43</v>
      </c>
      <c r="AN27" s="25" t="s">
        <v>43</v>
      </c>
      <c r="AO27" s="25" t="s">
        <v>43</v>
      </c>
      <c r="AP27" s="25" t="s">
        <v>43</v>
      </c>
      <c r="AQ27" s="25" t="s">
        <v>43</v>
      </c>
      <c r="AR27" s="25" t="s">
        <v>56</v>
      </c>
      <c r="AS27" s="25" t="s">
        <v>56</v>
      </c>
      <c r="AT27" s="25" t="s">
        <v>56</v>
      </c>
      <c r="AU27" s="25" t="s">
        <v>56</v>
      </c>
      <c r="AV27" s="25" t="s">
        <v>56</v>
      </c>
      <c r="AW27" s="25" t="s">
        <v>56</v>
      </c>
      <c r="AX27" s="25" t="s">
        <v>56</v>
      </c>
      <c r="AY27" s="25" t="s">
        <v>43</v>
      </c>
      <c r="AZ27" s="25" t="s">
        <v>56</v>
      </c>
      <c r="BA27" s="25" t="s">
        <v>56</v>
      </c>
      <c r="BB27" s="25" t="s">
        <v>43</v>
      </c>
      <c r="BC27" s="25" t="s">
        <v>43</v>
      </c>
      <c r="BD27" s="25" t="s">
        <v>56</v>
      </c>
      <c r="BE27" s="25" t="s">
        <v>56</v>
      </c>
      <c r="BF27" s="25" t="s">
        <v>56</v>
      </c>
      <c r="BG27" s="25" t="s">
        <v>56</v>
      </c>
      <c r="BH27" s="25" t="s">
        <v>56</v>
      </c>
      <c r="BI27" s="25" t="s">
        <v>56</v>
      </c>
      <c r="BJ27" s="25" t="s">
        <v>56</v>
      </c>
      <c r="BK27" s="25" t="s">
        <v>56</v>
      </c>
      <c r="BL27" s="25" t="s">
        <v>56</v>
      </c>
      <c r="BM27" s="25" t="s">
        <v>56</v>
      </c>
      <c r="BN27" s="25" t="s">
        <v>56</v>
      </c>
      <c r="BO27" s="25" t="s">
        <v>56</v>
      </c>
      <c r="BP27" s="25" t="s">
        <v>56</v>
      </c>
      <c r="BQ27" s="25" t="s">
        <v>56</v>
      </c>
      <c r="BR27" s="25" t="s">
        <v>56</v>
      </c>
      <c r="BS27" s="25" t="s">
        <v>56</v>
      </c>
      <c r="BT27" s="25" t="s">
        <v>56</v>
      </c>
      <c r="BU27" s="25" t="s">
        <v>56</v>
      </c>
      <c r="BV27" s="25" t="s">
        <v>56</v>
      </c>
      <c r="BW27" s="25" t="s">
        <v>56</v>
      </c>
      <c r="BX27" s="25" t="s">
        <v>56</v>
      </c>
      <c r="BY27" s="25" t="s">
        <v>56</v>
      </c>
      <c r="BZ27" s="25" t="s">
        <v>56</v>
      </c>
      <c r="CA27" s="25" t="s">
        <v>56</v>
      </c>
      <c r="CB27" s="25" t="s">
        <v>56</v>
      </c>
      <c r="CC27" s="25" t="s">
        <v>56</v>
      </c>
      <c r="CD27" s="25" t="s">
        <v>56</v>
      </c>
      <c r="CE27" s="25" t="s">
        <v>56</v>
      </c>
      <c r="CF27" s="25" t="s">
        <v>56</v>
      </c>
      <c r="CG27" s="25" t="s">
        <v>56</v>
      </c>
      <c r="CH27" s="25" t="s">
        <v>56</v>
      </c>
      <c r="CI27" s="25" t="s">
        <v>56</v>
      </c>
      <c r="CJ27" s="25" t="s">
        <v>56</v>
      </c>
      <c r="CK27" s="25" t="s">
        <v>56</v>
      </c>
      <c r="CL27" s="25" t="s">
        <v>56</v>
      </c>
      <c r="CM27" s="25" t="s">
        <v>56</v>
      </c>
      <c r="CN27" s="25" t="s">
        <v>43</v>
      </c>
      <c r="CO27" s="25" t="s">
        <v>43</v>
      </c>
      <c r="CP27" s="25" t="s">
        <v>43</v>
      </c>
      <c r="CQ27" s="25" t="s">
        <v>43</v>
      </c>
      <c r="CR27" s="25" t="s">
        <v>43</v>
      </c>
      <c r="CS27" s="25" t="s">
        <v>43</v>
      </c>
      <c r="CT27" s="25" t="s">
        <v>43</v>
      </c>
      <c r="CU27" s="25" t="s">
        <v>43</v>
      </c>
      <c r="CV27" s="25" t="s">
        <v>43</v>
      </c>
      <c r="CW27" s="25" t="s">
        <v>43</v>
      </c>
      <c r="CX27" s="25" t="s">
        <v>43</v>
      </c>
      <c r="CY27" s="25" t="s">
        <v>43</v>
      </c>
      <c r="CZ27" s="25" t="s">
        <v>43</v>
      </c>
      <c r="DA27" s="25" t="s">
        <v>43</v>
      </c>
      <c r="DB27" s="25" t="s">
        <v>43</v>
      </c>
      <c r="DC27" s="25" t="s">
        <v>43</v>
      </c>
      <c r="DD27" s="25" t="s">
        <v>43</v>
      </c>
      <c r="DE27" s="25" t="s">
        <v>43</v>
      </c>
      <c r="DF27" s="25" t="s">
        <v>43</v>
      </c>
      <c r="DG27" s="25" t="s">
        <v>43</v>
      </c>
      <c r="DH27" s="25" t="s">
        <v>43</v>
      </c>
      <c r="DI27" s="25" t="s">
        <v>43</v>
      </c>
      <c r="DJ27" s="25" t="s">
        <v>43</v>
      </c>
      <c r="DK27" s="25" t="s">
        <v>43</v>
      </c>
      <c r="DL27" s="25" t="s">
        <v>43</v>
      </c>
      <c r="DM27" s="25" t="s">
        <v>43</v>
      </c>
      <c r="DN27" s="25" t="s">
        <v>43</v>
      </c>
      <c r="DO27" s="25" t="s">
        <v>43</v>
      </c>
      <c r="DP27" s="25" t="s">
        <v>43</v>
      </c>
      <c r="DQ27" s="25" t="s">
        <v>43</v>
      </c>
      <c r="DR27" s="25" t="s">
        <v>43</v>
      </c>
      <c r="DS27" s="25" t="s">
        <v>43</v>
      </c>
      <c r="DT27" s="25" t="s">
        <v>43</v>
      </c>
      <c r="DU27" s="25" t="s">
        <v>43</v>
      </c>
      <c r="DV27" s="25" t="s">
        <v>43</v>
      </c>
      <c r="DW27" s="25" t="s">
        <v>43</v>
      </c>
    </row>
    <row r="28" spans="1:128" s="25" customFormat="1" ht="24.6" customHeight="1">
      <c r="A28" s="25">
        <v>25</v>
      </c>
      <c r="B28" s="25" t="s">
        <v>161</v>
      </c>
      <c r="C28" s="45">
        <v>656102611</v>
      </c>
      <c r="D28" s="25" t="s">
        <v>163</v>
      </c>
      <c r="E28" s="70"/>
      <c r="F28" s="70"/>
      <c r="G28" s="25">
        <v>8</v>
      </c>
      <c r="H28" s="25" t="s">
        <v>164</v>
      </c>
      <c r="I28" s="25" t="s">
        <v>56</v>
      </c>
      <c r="J28" s="26">
        <v>1500000</v>
      </c>
      <c r="K28" s="25" t="s">
        <v>137</v>
      </c>
      <c r="L28" s="25" t="s">
        <v>162</v>
      </c>
      <c r="M28" s="25">
        <v>1</v>
      </c>
      <c r="N28" s="25" t="s">
        <v>43</v>
      </c>
      <c r="O28" s="25" t="s">
        <v>43</v>
      </c>
      <c r="P28" s="25" t="s">
        <v>56</v>
      </c>
      <c r="Q28" s="25" t="s">
        <v>56</v>
      </c>
      <c r="R28" s="25" t="s">
        <v>56</v>
      </c>
      <c r="S28" s="25" t="s">
        <v>56</v>
      </c>
      <c r="T28" s="25" t="s">
        <v>56</v>
      </c>
      <c r="U28" s="25" t="s">
        <v>56</v>
      </c>
      <c r="V28" s="25" t="s">
        <v>56</v>
      </c>
      <c r="W28" s="25" t="s">
        <v>56</v>
      </c>
      <c r="X28" s="25" t="s">
        <v>56</v>
      </c>
      <c r="Y28" s="25" t="s">
        <v>56</v>
      </c>
      <c r="Z28" s="25" t="s">
        <v>56</v>
      </c>
      <c r="AA28" s="25" t="s">
        <v>56</v>
      </c>
      <c r="AB28" s="25" t="s">
        <v>56</v>
      </c>
      <c r="AC28" s="25" t="s">
        <v>56</v>
      </c>
      <c r="AD28" s="25" t="s">
        <v>56</v>
      </c>
      <c r="AE28" s="25" t="s">
        <v>56</v>
      </c>
      <c r="AF28" s="25" t="s">
        <v>56</v>
      </c>
      <c r="AG28" s="25" t="s">
        <v>56</v>
      </c>
      <c r="AH28" s="25" t="s">
        <v>56</v>
      </c>
      <c r="AI28" s="25" t="s">
        <v>56</v>
      </c>
      <c r="AJ28" s="25" t="s">
        <v>56</v>
      </c>
      <c r="AK28" s="25" t="s">
        <v>56</v>
      </c>
      <c r="AL28" s="25" t="s">
        <v>43</v>
      </c>
      <c r="AM28" s="25" t="s">
        <v>56</v>
      </c>
      <c r="AN28" s="25" t="s">
        <v>43</v>
      </c>
      <c r="AO28" s="25" t="s">
        <v>43</v>
      </c>
      <c r="AP28" s="25" t="s">
        <v>43</v>
      </c>
      <c r="AQ28" s="25" t="s">
        <v>43</v>
      </c>
      <c r="AR28" s="25" t="s">
        <v>43</v>
      </c>
      <c r="AS28" s="25" t="s">
        <v>56</v>
      </c>
      <c r="AT28" s="25" t="s">
        <v>56</v>
      </c>
      <c r="AU28" s="25" t="s">
        <v>56</v>
      </c>
      <c r="AV28" s="25" t="s">
        <v>56</v>
      </c>
      <c r="AW28" s="25" t="s">
        <v>56</v>
      </c>
      <c r="AX28" s="25" t="s">
        <v>43</v>
      </c>
      <c r="AY28" s="25" t="s">
        <v>43</v>
      </c>
      <c r="AZ28" s="25" t="s">
        <v>43</v>
      </c>
      <c r="BA28" s="25" t="s">
        <v>43</v>
      </c>
      <c r="BB28" s="25" t="s">
        <v>43</v>
      </c>
      <c r="BC28" s="25" t="s">
        <v>43</v>
      </c>
      <c r="BD28" s="25" t="s">
        <v>56</v>
      </c>
      <c r="BE28" s="25" t="s">
        <v>56</v>
      </c>
      <c r="BF28" s="25" t="s">
        <v>56</v>
      </c>
      <c r="BG28" s="25" t="s">
        <v>56</v>
      </c>
      <c r="BH28" s="25" t="s">
        <v>56</v>
      </c>
      <c r="BI28" s="25" t="s">
        <v>56</v>
      </c>
      <c r="BJ28" s="25" t="s">
        <v>56</v>
      </c>
      <c r="BK28" s="25" t="s">
        <v>56</v>
      </c>
      <c r="BL28" s="25" t="s">
        <v>56</v>
      </c>
      <c r="BM28" s="25" t="s">
        <v>56</v>
      </c>
      <c r="BN28" s="25" t="s">
        <v>56</v>
      </c>
      <c r="BO28" s="25" t="s">
        <v>56</v>
      </c>
      <c r="BP28" s="25" t="s">
        <v>56</v>
      </c>
      <c r="BQ28" s="25" t="s">
        <v>56</v>
      </c>
      <c r="BR28" s="25" t="s">
        <v>56</v>
      </c>
      <c r="BS28" s="25" t="s">
        <v>56</v>
      </c>
      <c r="BT28" s="25" t="s">
        <v>56</v>
      </c>
      <c r="BU28" s="25" t="s">
        <v>56</v>
      </c>
      <c r="BV28" s="25" t="s">
        <v>56</v>
      </c>
      <c r="BW28" s="25" t="s">
        <v>56</v>
      </c>
      <c r="BX28" s="25" t="s">
        <v>56</v>
      </c>
      <c r="BY28" s="25" t="s">
        <v>56</v>
      </c>
      <c r="BZ28" s="25" t="s">
        <v>56</v>
      </c>
      <c r="CA28" s="25" t="s">
        <v>56</v>
      </c>
      <c r="CB28" s="25" t="s">
        <v>56</v>
      </c>
      <c r="CC28" s="25" t="s">
        <v>56</v>
      </c>
      <c r="CD28" s="25" t="s">
        <v>56</v>
      </c>
      <c r="CE28" s="25" t="s">
        <v>56</v>
      </c>
      <c r="CF28" s="25" t="s">
        <v>56</v>
      </c>
      <c r="CG28" s="25" t="s">
        <v>56</v>
      </c>
      <c r="CH28" s="25" t="s">
        <v>56</v>
      </c>
      <c r="CI28" s="25" t="s">
        <v>56</v>
      </c>
      <c r="CJ28" s="25" t="s">
        <v>56</v>
      </c>
      <c r="CK28" s="25" t="s">
        <v>56</v>
      </c>
      <c r="CL28" s="25" t="s">
        <v>56</v>
      </c>
      <c r="CM28" s="25" t="s">
        <v>56</v>
      </c>
      <c r="CN28" s="25" t="s">
        <v>56</v>
      </c>
      <c r="CO28" s="25" t="s">
        <v>56</v>
      </c>
      <c r="CP28" s="25" t="s">
        <v>56</v>
      </c>
      <c r="CQ28" s="25" t="s">
        <v>56</v>
      </c>
      <c r="CR28" s="25" t="s">
        <v>56</v>
      </c>
      <c r="CS28" s="25" t="s">
        <v>56</v>
      </c>
      <c r="CT28" s="25" t="s">
        <v>56</v>
      </c>
      <c r="CU28" s="25" t="s">
        <v>56</v>
      </c>
      <c r="CV28" s="25" t="s">
        <v>56</v>
      </c>
      <c r="CW28" s="25" t="s">
        <v>56</v>
      </c>
      <c r="CX28" s="25" t="s">
        <v>56</v>
      </c>
      <c r="CY28" s="25" t="s">
        <v>56</v>
      </c>
      <c r="CZ28" s="25" t="s">
        <v>56</v>
      </c>
      <c r="DA28" s="25" t="s">
        <v>56</v>
      </c>
      <c r="DB28" s="25" t="s">
        <v>56</v>
      </c>
      <c r="DC28" s="25" t="s">
        <v>56</v>
      </c>
      <c r="DD28" s="25" t="s">
        <v>56</v>
      </c>
      <c r="DE28" s="25" t="s">
        <v>56</v>
      </c>
      <c r="DF28" s="25" t="s">
        <v>56</v>
      </c>
      <c r="DG28" s="25" t="s">
        <v>56</v>
      </c>
      <c r="DH28" s="25" t="s">
        <v>56</v>
      </c>
      <c r="DI28" s="25" t="s">
        <v>56</v>
      </c>
      <c r="DJ28" s="25" t="s">
        <v>56</v>
      </c>
      <c r="DK28" s="25" t="s">
        <v>56</v>
      </c>
      <c r="DL28" s="25" t="s">
        <v>56</v>
      </c>
      <c r="DM28" s="25" t="s">
        <v>56</v>
      </c>
      <c r="DN28" s="25" t="s">
        <v>56</v>
      </c>
      <c r="DO28" s="25" t="s">
        <v>56</v>
      </c>
      <c r="DP28" s="25" t="s">
        <v>56</v>
      </c>
      <c r="DQ28" s="25" t="s">
        <v>56</v>
      </c>
      <c r="DR28" s="25" t="s">
        <v>56</v>
      </c>
      <c r="DS28" s="25" t="s">
        <v>56</v>
      </c>
      <c r="DT28" s="25" t="s">
        <v>56</v>
      </c>
      <c r="DU28" s="25" t="s">
        <v>56</v>
      </c>
      <c r="DV28" s="25" t="s">
        <v>56</v>
      </c>
      <c r="DW28" s="25" t="s">
        <v>56</v>
      </c>
    </row>
    <row r="29" spans="1:128" s="25" customFormat="1" ht="24.6" customHeight="1">
      <c r="A29" s="25">
        <v>26</v>
      </c>
      <c r="B29" s="25" t="s">
        <v>165</v>
      </c>
      <c r="C29" s="45">
        <v>696492700</v>
      </c>
      <c r="D29" s="25" t="s">
        <v>160</v>
      </c>
      <c r="E29" s="70"/>
      <c r="F29" s="70"/>
      <c r="G29" s="25">
        <v>10</v>
      </c>
      <c r="H29" s="25" t="s">
        <v>166</v>
      </c>
      <c r="I29" s="25" t="s">
        <v>56</v>
      </c>
      <c r="J29" s="26">
        <v>10500000</v>
      </c>
      <c r="K29" s="25" t="s">
        <v>137</v>
      </c>
      <c r="L29" s="25" t="s">
        <v>54</v>
      </c>
      <c r="M29" s="25">
        <v>8</v>
      </c>
      <c r="N29" s="25" t="s">
        <v>43</v>
      </c>
      <c r="O29" s="25" t="s">
        <v>56</v>
      </c>
      <c r="P29" s="25" t="s">
        <v>56</v>
      </c>
      <c r="Q29" s="25" t="s">
        <v>56</v>
      </c>
      <c r="R29" s="25" t="s">
        <v>56</v>
      </c>
      <c r="S29" s="25" t="s">
        <v>56</v>
      </c>
      <c r="T29" s="25" t="s">
        <v>56</v>
      </c>
      <c r="U29" s="25" t="s">
        <v>56</v>
      </c>
      <c r="V29" s="25" t="s">
        <v>56</v>
      </c>
      <c r="W29" s="25" t="s">
        <v>56</v>
      </c>
      <c r="X29" s="25" t="s">
        <v>56</v>
      </c>
      <c r="Y29" s="25" t="s">
        <v>56</v>
      </c>
      <c r="Z29" s="25" t="s">
        <v>56</v>
      </c>
      <c r="AA29" s="25" t="s">
        <v>56</v>
      </c>
      <c r="AB29" s="25" t="s">
        <v>56</v>
      </c>
      <c r="AC29" s="25" t="s">
        <v>56</v>
      </c>
      <c r="AD29" s="25" t="s">
        <v>56</v>
      </c>
      <c r="AE29" s="25" t="s">
        <v>56</v>
      </c>
      <c r="AF29" s="25" t="s">
        <v>56</v>
      </c>
      <c r="AG29" s="25" t="s">
        <v>56</v>
      </c>
      <c r="AH29" s="25" t="s">
        <v>56</v>
      </c>
      <c r="AI29" s="25" t="s">
        <v>56</v>
      </c>
      <c r="AJ29" s="25" t="s">
        <v>56</v>
      </c>
      <c r="AK29" s="25" t="s">
        <v>56</v>
      </c>
      <c r="AL29" s="25" t="s">
        <v>56</v>
      </c>
      <c r="AM29" s="25" t="s">
        <v>56</v>
      </c>
      <c r="AN29" s="25" t="s">
        <v>56</v>
      </c>
      <c r="AO29" s="25" t="s">
        <v>56</v>
      </c>
      <c r="AP29" s="25" t="s">
        <v>56</v>
      </c>
      <c r="AQ29" s="25" t="s">
        <v>56</v>
      </c>
      <c r="AR29" s="25" t="s">
        <v>56</v>
      </c>
      <c r="AS29" s="25" t="s">
        <v>56</v>
      </c>
      <c r="AT29" s="25" t="s">
        <v>56</v>
      </c>
      <c r="AU29" s="25" t="s">
        <v>56</v>
      </c>
      <c r="AV29" s="25" t="s">
        <v>56</v>
      </c>
      <c r="AW29" s="25" t="s">
        <v>56</v>
      </c>
      <c r="AX29" s="25" t="s">
        <v>56</v>
      </c>
      <c r="AY29" s="25" t="s">
        <v>56</v>
      </c>
      <c r="AZ29" s="25" t="s">
        <v>56</v>
      </c>
      <c r="BA29" s="25" t="s">
        <v>56</v>
      </c>
      <c r="BB29" s="25" t="s">
        <v>56</v>
      </c>
      <c r="BC29" s="25" t="s">
        <v>56</v>
      </c>
      <c r="BD29" s="25" t="s">
        <v>43</v>
      </c>
      <c r="BE29" s="25" t="s">
        <v>43</v>
      </c>
      <c r="BF29" s="25" t="s">
        <v>43</v>
      </c>
      <c r="BG29" s="25" t="s">
        <v>43</v>
      </c>
      <c r="BH29" s="25" t="s">
        <v>43</v>
      </c>
      <c r="BI29" s="25" t="s">
        <v>43</v>
      </c>
      <c r="BJ29" s="25" t="s">
        <v>43</v>
      </c>
      <c r="BK29" s="25" t="s">
        <v>43</v>
      </c>
      <c r="BL29" s="25" t="s">
        <v>43</v>
      </c>
      <c r="BM29" s="25" t="s">
        <v>43</v>
      </c>
      <c r="BN29" s="25" t="s">
        <v>43</v>
      </c>
      <c r="BO29" s="25" t="s">
        <v>43</v>
      </c>
      <c r="BP29" s="25" t="s">
        <v>43</v>
      </c>
      <c r="BQ29" s="25" t="s">
        <v>43</v>
      </c>
      <c r="BR29" s="25" t="s">
        <v>43</v>
      </c>
      <c r="BS29" s="25" t="s">
        <v>43</v>
      </c>
      <c r="BT29" s="25" t="s">
        <v>43</v>
      </c>
      <c r="BU29" s="25" t="s">
        <v>43</v>
      </c>
      <c r="BV29" s="25" t="s">
        <v>56</v>
      </c>
      <c r="BW29" s="25" t="s">
        <v>56</v>
      </c>
      <c r="BX29" s="25" t="s">
        <v>56</v>
      </c>
      <c r="BY29" s="25" t="s">
        <v>56</v>
      </c>
      <c r="BZ29" s="25" t="s">
        <v>56</v>
      </c>
      <c r="CA29" s="25" t="s">
        <v>56</v>
      </c>
      <c r="CB29" s="25" t="s">
        <v>56</v>
      </c>
      <c r="CC29" s="25" t="s">
        <v>56</v>
      </c>
      <c r="CD29" s="25" t="s">
        <v>56</v>
      </c>
      <c r="CE29" s="25" t="s">
        <v>56</v>
      </c>
      <c r="CF29" s="25" t="s">
        <v>56</v>
      </c>
      <c r="CG29" s="25" t="s">
        <v>56</v>
      </c>
      <c r="CH29" s="25" t="s">
        <v>56</v>
      </c>
      <c r="CI29" s="25" t="s">
        <v>56</v>
      </c>
      <c r="CJ29" s="25" t="s">
        <v>56</v>
      </c>
      <c r="CK29" s="25" t="s">
        <v>56</v>
      </c>
      <c r="CL29" s="25" t="s">
        <v>56</v>
      </c>
      <c r="CM29" s="25" t="s">
        <v>56</v>
      </c>
      <c r="CN29" s="25" t="s">
        <v>56</v>
      </c>
      <c r="CO29" s="25" t="s">
        <v>56</v>
      </c>
      <c r="CP29" s="25" t="s">
        <v>56</v>
      </c>
      <c r="CQ29" s="25" t="s">
        <v>56</v>
      </c>
      <c r="CR29" s="25" t="s">
        <v>56</v>
      </c>
      <c r="CS29" s="25" t="s">
        <v>56</v>
      </c>
      <c r="CT29" s="25" t="s">
        <v>56</v>
      </c>
      <c r="CU29" s="25" t="s">
        <v>56</v>
      </c>
      <c r="CV29" s="25" t="s">
        <v>56</v>
      </c>
      <c r="CW29" s="25" t="s">
        <v>56</v>
      </c>
      <c r="CX29" s="25" t="s">
        <v>56</v>
      </c>
      <c r="CY29" s="25" t="s">
        <v>56</v>
      </c>
      <c r="CZ29" s="25" t="s">
        <v>56</v>
      </c>
      <c r="DA29" s="25" t="s">
        <v>56</v>
      </c>
      <c r="DB29" s="25" t="s">
        <v>56</v>
      </c>
      <c r="DC29" s="25" t="s">
        <v>56</v>
      </c>
      <c r="DD29" s="25" t="s">
        <v>56</v>
      </c>
      <c r="DE29" s="25" t="s">
        <v>56</v>
      </c>
      <c r="DF29" s="25" t="s">
        <v>56</v>
      </c>
      <c r="DG29" s="25" t="s">
        <v>56</v>
      </c>
      <c r="DH29" s="25" t="s">
        <v>56</v>
      </c>
      <c r="DI29" s="25" t="s">
        <v>56</v>
      </c>
      <c r="DJ29" s="25" t="s">
        <v>56</v>
      </c>
      <c r="DK29" s="25" t="s">
        <v>56</v>
      </c>
      <c r="DL29" s="25" t="s">
        <v>56</v>
      </c>
      <c r="DM29" s="25" t="s">
        <v>56</v>
      </c>
      <c r="DN29" s="25" t="s">
        <v>56</v>
      </c>
      <c r="DO29" s="25" t="s">
        <v>56</v>
      </c>
      <c r="DP29" s="25" t="s">
        <v>56</v>
      </c>
      <c r="DQ29" s="25" t="s">
        <v>56</v>
      </c>
      <c r="DR29" s="25" t="s">
        <v>56</v>
      </c>
      <c r="DS29" s="25" t="s">
        <v>56</v>
      </c>
      <c r="DT29" s="25" t="s">
        <v>56</v>
      </c>
      <c r="DU29" s="25" t="s">
        <v>56</v>
      </c>
      <c r="DV29" s="25" t="s">
        <v>56</v>
      </c>
      <c r="DW29" s="25" t="s">
        <v>56</v>
      </c>
    </row>
    <row r="30" spans="1:128" s="25" customFormat="1" ht="24.6" customHeight="1">
      <c r="A30" s="25">
        <v>27</v>
      </c>
      <c r="B30" s="25" t="s">
        <v>167</v>
      </c>
      <c r="C30" s="45">
        <v>698843700</v>
      </c>
      <c r="E30" s="70"/>
      <c r="F30" s="70"/>
      <c r="G30" s="25">
        <v>25</v>
      </c>
      <c r="H30" s="25" t="s">
        <v>169</v>
      </c>
      <c r="I30" s="25" t="s">
        <v>56</v>
      </c>
      <c r="J30" s="26">
        <v>4800000</v>
      </c>
      <c r="K30" s="25" t="s">
        <v>168</v>
      </c>
      <c r="L30" s="25" t="s">
        <v>168</v>
      </c>
      <c r="M30" s="25">
        <v>16</v>
      </c>
      <c r="N30" s="25" t="s">
        <v>56</v>
      </c>
      <c r="O30" s="25" t="s">
        <v>43</v>
      </c>
      <c r="P30" s="25" t="s">
        <v>56</v>
      </c>
      <c r="Q30" s="25" t="s">
        <v>56</v>
      </c>
      <c r="R30" s="25" t="s">
        <v>56</v>
      </c>
      <c r="S30" s="25" t="s">
        <v>56</v>
      </c>
      <c r="T30" s="25" t="s">
        <v>56</v>
      </c>
      <c r="U30" s="25" t="s">
        <v>56</v>
      </c>
      <c r="V30" s="25" t="s">
        <v>56</v>
      </c>
      <c r="W30" s="25" t="s">
        <v>56</v>
      </c>
      <c r="X30" s="25" t="s">
        <v>56</v>
      </c>
      <c r="Y30" s="25" t="s">
        <v>56</v>
      </c>
      <c r="Z30" s="25" t="s">
        <v>56</v>
      </c>
      <c r="AA30" s="25" t="s">
        <v>56</v>
      </c>
      <c r="AB30" s="25" t="s">
        <v>56</v>
      </c>
      <c r="AC30" s="25" t="s">
        <v>56</v>
      </c>
      <c r="AD30" s="25" t="s">
        <v>56</v>
      </c>
      <c r="AE30" s="25" t="s">
        <v>56</v>
      </c>
      <c r="AF30" s="25" t="s">
        <v>56</v>
      </c>
      <c r="AG30" s="25" t="s">
        <v>56</v>
      </c>
      <c r="AH30" s="25" t="s">
        <v>56</v>
      </c>
      <c r="AI30" s="25" t="s">
        <v>56</v>
      </c>
      <c r="AJ30" s="25" t="s">
        <v>56</v>
      </c>
      <c r="AK30" s="25" t="s">
        <v>56</v>
      </c>
      <c r="AL30" s="25" t="s">
        <v>56</v>
      </c>
      <c r="AM30" s="25" t="s">
        <v>56</v>
      </c>
      <c r="AN30" s="25" t="s">
        <v>56</v>
      </c>
      <c r="AO30" s="25" t="s">
        <v>56</v>
      </c>
      <c r="AP30" s="25" t="s">
        <v>56</v>
      </c>
      <c r="AQ30" s="25" t="s">
        <v>56</v>
      </c>
      <c r="AR30" s="25" t="s">
        <v>56</v>
      </c>
      <c r="AS30" s="25" t="s">
        <v>56</v>
      </c>
      <c r="AT30" s="25" t="s">
        <v>56</v>
      </c>
      <c r="AU30" s="25" t="s">
        <v>56</v>
      </c>
      <c r="AV30" s="25" t="s">
        <v>56</v>
      </c>
      <c r="AW30" s="25" t="s">
        <v>56</v>
      </c>
      <c r="AX30" s="25" t="s">
        <v>56</v>
      </c>
      <c r="AY30" s="25" t="s">
        <v>56</v>
      </c>
      <c r="AZ30" s="25" t="s">
        <v>56</v>
      </c>
      <c r="BA30" s="25" t="s">
        <v>56</v>
      </c>
      <c r="BB30" s="25" t="s">
        <v>56</v>
      </c>
      <c r="BC30" s="25" t="s">
        <v>56</v>
      </c>
      <c r="BD30" s="25" t="s">
        <v>56</v>
      </c>
      <c r="BE30" s="25" t="s">
        <v>56</v>
      </c>
      <c r="BF30" s="25" t="s">
        <v>56</v>
      </c>
      <c r="BG30" s="25" t="s">
        <v>56</v>
      </c>
      <c r="BH30" s="25" t="s">
        <v>56</v>
      </c>
      <c r="BI30" s="25" t="s">
        <v>56</v>
      </c>
      <c r="BJ30" s="25" t="s">
        <v>56</v>
      </c>
      <c r="BK30" s="25" t="s">
        <v>56</v>
      </c>
      <c r="BL30" s="25" t="s">
        <v>56</v>
      </c>
      <c r="BM30" s="25" t="s">
        <v>56</v>
      </c>
      <c r="BN30" s="25" t="s">
        <v>56</v>
      </c>
      <c r="BO30" s="25" t="s">
        <v>56</v>
      </c>
      <c r="BP30" s="25" t="s">
        <v>56</v>
      </c>
      <c r="BQ30" s="25" t="s">
        <v>56</v>
      </c>
      <c r="BR30" s="25" t="s">
        <v>56</v>
      </c>
      <c r="BS30" s="25" t="s">
        <v>56</v>
      </c>
      <c r="BT30" s="25" t="s">
        <v>56</v>
      </c>
      <c r="BU30" s="25" t="s">
        <v>56</v>
      </c>
      <c r="BV30" s="25" t="s">
        <v>56</v>
      </c>
      <c r="BW30" s="25" t="s">
        <v>56</v>
      </c>
      <c r="BX30" s="25" t="s">
        <v>56</v>
      </c>
      <c r="BY30" s="25" t="s">
        <v>56</v>
      </c>
      <c r="BZ30" s="25" t="s">
        <v>56</v>
      </c>
      <c r="CA30" s="25" t="s">
        <v>56</v>
      </c>
      <c r="CB30" s="25" t="s">
        <v>56</v>
      </c>
      <c r="CC30" s="25" t="s">
        <v>56</v>
      </c>
      <c r="CD30" s="25" t="s">
        <v>56</v>
      </c>
      <c r="CE30" s="25" t="s">
        <v>56</v>
      </c>
      <c r="CF30" s="25" t="s">
        <v>56</v>
      </c>
      <c r="CG30" s="25" t="s">
        <v>56</v>
      </c>
      <c r="CH30" s="25" t="s">
        <v>56</v>
      </c>
      <c r="CI30" s="25" t="s">
        <v>56</v>
      </c>
      <c r="CJ30" s="25" t="s">
        <v>56</v>
      </c>
      <c r="CK30" s="25" t="s">
        <v>56</v>
      </c>
      <c r="CL30" s="25" t="s">
        <v>56</v>
      </c>
      <c r="CM30" s="25" t="s">
        <v>56</v>
      </c>
      <c r="CN30" s="25" t="s">
        <v>43</v>
      </c>
      <c r="CO30" s="25" t="s">
        <v>43</v>
      </c>
      <c r="CP30" s="25" t="s">
        <v>43</v>
      </c>
      <c r="CQ30" s="25" t="s">
        <v>43</v>
      </c>
      <c r="CR30" s="25" t="s">
        <v>43</v>
      </c>
      <c r="CS30" s="25" t="s">
        <v>43</v>
      </c>
      <c r="CT30" s="25" t="s">
        <v>43</v>
      </c>
      <c r="CU30" s="25" t="s">
        <v>43</v>
      </c>
      <c r="CV30" s="25" t="s">
        <v>43</v>
      </c>
      <c r="CW30" s="25" t="s">
        <v>43</v>
      </c>
      <c r="CX30" s="25" t="s">
        <v>43</v>
      </c>
      <c r="CY30" s="25" t="s">
        <v>43</v>
      </c>
      <c r="CZ30" s="25" t="s">
        <v>43</v>
      </c>
      <c r="DA30" s="25" t="s">
        <v>43</v>
      </c>
      <c r="DB30" s="25" t="s">
        <v>43</v>
      </c>
      <c r="DC30" s="25" t="s">
        <v>43</v>
      </c>
      <c r="DD30" s="25" t="s">
        <v>43</v>
      </c>
      <c r="DE30" s="25" t="s">
        <v>43</v>
      </c>
      <c r="DF30" s="25" t="s">
        <v>56</v>
      </c>
      <c r="DG30" s="25" t="s">
        <v>56</v>
      </c>
      <c r="DH30" s="25" t="s">
        <v>56</v>
      </c>
      <c r="DI30" s="25" t="s">
        <v>56</v>
      </c>
      <c r="DJ30" s="25" t="s">
        <v>56</v>
      </c>
      <c r="DK30" s="25" t="s">
        <v>56</v>
      </c>
      <c r="DL30" s="25" t="s">
        <v>56</v>
      </c>
      <c r="DM30" s="25" t="s">
        <v>56</v>
      </c>
      <c r="DN30" s="25" t="s">
        <v>56</v>
      </c>
      <c r="DO30" s="25" t="s">
        <v>56</v>
      </c>
      <c r="DP30" s="25" t="s">
        <v>56</v>
      </c>
      <c r="DQ30" s="25" t="s">
        <v>56</v>
      </c>
      <c r="DR30" s="25" t="s">
        <v>56</v>
      </c>
      <c r="DS30" s="25" t="s">
        <v>56</v>
      </c>
      <c r="DT30" s="25" t="s">
        <v>56</v>
      </c>
      <c r="DU30" s="25" t="s">
        <v>56</v>
      </c>
      <c r="DV30" s="25" t="s">
        <v>56</v>
      </c>
      <c r="DW30" s="25" t="s">
        <v>56</v>
      </c>
    </row>
    <row r="31" spans="1:128" s="25" customFormat="1" ht="24.6" customHeight="1">
      <c r="A31" s="25">
        <v>28</v>
      </c>
      <c r="B31" t="s">
        <v>170</v>
      </c>
      <c r="C31" s="45">
        <v>675493737</v>
      </c>
      <c r="E31" s="70"/>
      <c r="F31" s="70"/>
      <c r="G31" s="25">
        <v>10</v>
      </c>
      <c r="H31" s="25" t="s">
        <v>173</v>
      </c>
      <c r="I31" s="25" t="s">
        <v>56</v>
      </c>
      <c r="J31" s="26">
        <v>10000000</v>
      </c>
      <c r="K31" s="25" t="s">
        <v>137</v>
      </c>
      <c r="L31" s="25" t="s">
        <v>172</v>
      </c>
      <c r="M31" s="25">
        <v>3</v>
      </c>
      <c r="N31" s="25" t="s">
        <v>43</v>
      </c>
      <c r="O31" s="25" t="s">
        <v>56</v>
      </c>
      <c r="P31" s="25" t="s">
        <v>56</v>
      </c>
      <c r="Q31" s="25" t="s">
        <v>56</v>
      </c>
      <c r="R31" s="25" t="s">
        <v>43</v>
      </c>
      <c r="S31" s="25" t="s">
        <v>43</v>
      </c>
      <c r="T31" s="25" t="s">
        <v>56</v>
      </c>
      <c r="U31" s="25" t="s">
        <v>56</v>
      </c>
      <c r="V31" s="25" t="s">
        <v>56</v>
      </c>
      <c r="W31" s="25" t="s">
        <v>56</v>
      </c>
      <c r="X31" s="25" t="s">
        <v>56</v>
      </c>
      <c r="Y31" s="25" t="s">
        <v>56</v>
      </c>
      <c r="Z31" s="25" t="s">
        <v>56</v>
      </c>
      <c r="AA31" s="25" t="s">
        <v>56</v>
      </c>
      <c r="AB31" s="25" t="s">
        <v>56</v>
      </c>
      <c r="AC31" s="25" t="s">
        <v>56</v>
      </c>
      <c r="AD31" s="25" t="s">
        <v>56</v>
      </c>
      <c r="AE31" s="25" t="s">
        <v>56</v>
      </c>
      <c r="AF31" s="25" t="s">
        <v>56</v>
      </c>
      <c r="AG31" s="25" t="s">
        <v>56</v>
      </c>
      <c r="AH31" s="25" t="s">
        <v>56</v>
      </c>
      <c r="AI31" s="25" t="s">
        <v>56</v>
      </c>
      <c r="AJ31" s="25" t="s">
        <v>56</v>
      </c>
      <c r="AK31" s="25" t="s">
        <v>56</v>
      </c>
      <c r="AL31" s="25" t="s">
        <v>56</v>
      </c>
      <c r="AM31" s="25" t="s">
        <v>56</v>
      </c>
      <c r="AN31" s="25" t="s">
        <v>56</v>
      </c>
      <c r="AO31" s="25" t="s">
        <v>56</v>
      </c>
      <c r="AP31" s="25" t="s">
        <v>56</v>
      </c>
      <c r="AQ31" s="25" t="s">
        <v>56</v>
      </c>
      <c r="AR31" s="25" t="s">
        <v>56</v>
      </c>
      <c r="AS31" s="25" t="s">
        <v>56</v>
      </c>
      <c r="AT31" s="25" t="s">
        <v>56</v>
      </c>
      <c r="AU31" s="25" t="s">
        <v>56</v>
      </c>
      <c r="AV31" s="25" t="s">
        <v>56</v>
      </c>
      <c r="AW31" s="25" t="s">
        <v>56</v>
      </c>
      <c r="AX31" s="25" t="s">
        <v>56</v>
      </c>
      <c r="AY31" s="25" t="s">
        <v>56</v>
      </c>
      <c r="AZ31" s="25" t="s">
        <v>56</v>
      </c>
      <c r="BA31" s="25" t="s">
        <v>56</v>
      </c>
      <c r="BB31" s="25" t="s">
        <v>56</v>
      </c>
      <c r="BC31" s="25" t="s">
        <v>56</v>
      </c>
      <c r="BD31" s="25" t="s">
        <v>56</v>
      </c>
      <c r="BE31" s="25" t="s">
        <v>56</v>
      </c>
      <c r="BF31" s="25" t="s">
        <v>56</v>
      </c>
      <c r="BG31" s="25" t="s">
        <v>56</v>
      </c>
      <c r="BH31" s="25" t="s">
        <v>56</v>
      </c>
      <c r="BI31" s="25" t="s">
        <v>56</v>
      </c>
      <c r="BJ31" s="25" t="s">
        <v>56</v>
      </c>
      <c r="BK31" s="25" t="s">
        <v>56</v>
      </c>
      <c r="BL31" s="25" t="s">
        <v>56</v>
      </c>
      <c r="BM31" s="25" t="s">
        <v>56</v>
      </c>
      <c r="BN31" s="25" t="s">
        <v>56</v>
      </c>
      <c r="BO31" s="25" t="s">
        <v>56</v>
      </c>
      <c r="BP31" s="25" t="s">
        <v>56</v>
      </c>
      <c r="BQ31" s="25" t="s">
        <v>56</v>
      </c>
      <c r="BR31" s="25" t="s">
        <v>56</v>
      </c>
      <c r="BS31" s="25" t="s">
        <v>56</v>
      </c>
      <c r="BT31" s="25" t="s">
        <v>56</v>
      </c>
      <c r="BU31" s="25" t="s">
        <v>56</v>
      </c>
      <c r="BV31" s="25" t="s">
        <v>56</v>
      </c>
      <c r="BW31" s="25" t="s">
        <v>56</v>
      </c>
      <c r="BX31" s="25" t="s">
        <v>56</v>
      </c>
      <c r="BY31" s="25" t="s">
        <v>56</v>
      </c>
      <c r="BZ31" s="25" t="s">
        <v>56</v>
      </c>
      <c r="CA31" s="25" t="s">
        <v>56</v>
      </c>
      <c r="CB31" s="25" t="s">
        <v>56</v>
      </c>
      <c r="CC31" s="25" t="s">
        <v>56</v>
      </c>
      <c r="CD31" s="25" t="s">
        <v>56</v>
      </c>
      <c r="CE31" s="25" t="s">
        <v>56</v>
      </c>
      <c r="CF31" s="25" t="s">
        <v>56</v>
      </c>
      <c r="CG31" s="25" t="s">
        <v>56</v>
      </c>
      <c r="CH31" s="25" t="s">
        <v>56</v>
      </c>
      <c r="CI31" s="25" t="s">
        <v>56</v>
      </c>
      <c r="CJ31" s="25" t="s">
        <v>56</v>
      </c>
      <c r="CK31" s="25" t="s">
        <v>56</v>
      </c>
      <c r="CL31" s="25" t="s">
        <v>56</v>
      </c>
      <c r="CM31" s="25" t="s">
        <v>56</v>
      </c>
      <c r="CN31" s="25" t="s">
        <v>43</v>
      </c>
      <c r="CO31" s="25" t="s">
        <v>43</v>
      </c>
      <c r="CP31" s="25" t="s">
        <v>43</v>
      </c>
      <c r="CQ31" s="25" t="s">
        <v>56</v>
      </c>
      <c r="CR31" s="25" t="s">
        <v>43</v>
      </c>
      <c r="CS31" s="25" t="s">
        <v>43</v>
      </c>
      <c r="CT31" s="25" t="s">
        <v>43</v>
      </c>
      <c r="CU31" s="25" t="s">
        <v>43</v>
      </c>
      <c r="CV31" s="25" t="s">
        <v>43</v>
      </c>
      <c r="CW31" s="25" t="s">
        <v>43</v>
      </c>
      <c r="CX31" s="25" t="s">
        <v>43</v>
      </c>
      <c r="CY31" s="25" t="s">
        <v>43</v>
      </c>
      <c r="CZ31" s="25" t="s">
        <v>43</v>
      </c>
      <c r="DA31" s="25" t="s">
        <v>43</v>
      </c>
      <c r="DB31" s="25" t="s">
        <v>43</v>
      </c>
      <c r="DC31" s="25" t="s">
        <v>43</v>
      </c>
      <c r="DD31" s="25" t="s">
        <v>43</v>
      </c>
      <c r="DE31" s="25" t="s">
        <v>43</v>
      </c>
      <c r="DF31" s="25" t="s">
        <v>43</v>
      </c>
      <c r="DG31" s="25" t="s">
        <v>43</v>
      </c>
      <c r="DH31" s="25" t="s">
        <v>43</v>
      </c>
      <c r="DI31" s="25" t="s">
        <v>43</v>
      </c>
      <c r="DJ31" s="25" t="s">
        <v>43</v>
      </c>
      <c r="DK31" s="25" t="s">
        <v>43</v>
      </c>
      <c r="DL31" s="25" t="s">
        <v>43</v>
      </c>
      <c r="DM31" s="25" t="s">
        <v>43</v>
      </c>
      <c r="DN31" s="25" t="s">
        <v>43</v>
      </c>
      <c r="DO31" s="25" t="s">
        <v>43</v>
      </c>
      <c r="DP31" s="25" t="s">
        <v>43</v>
      </c>
      <c r="DQ31" s="25" t="s">
        <v>43</v>
      </c>
      <c r="DR31" s="25" t="s">
        <v>43</v>
      </c>
      <c r="DS31" s="25" t="s">
        <v>43</v>
      </c>
      <c r="DT31" s="25" t="s">
        <v>43</v>
      </c>
      <c r="DU31" s="25" t="s">
        <v>43</v>
      </c>
      <c r="DV31" s="25" t="s">
        <v>43</v>
      </c>
      <c r="DW31" s="25" t="s">
        <v>43</v>
      </c>
    </row>
    <row r="32" spans="1:128" s="25" customFormat="1" ht="24.6" customHeight="1">
      <c r="A32" s="25">
        <v>29</v>
      </c>
      <c r="B32" s="25" t="s">
        <v>171</v>
      </c>
      <c r="C32" s="45">
        <v>691977154</v>
      </c>
      <c r="D32" s="25" t="s">
        <v>55</v>
      </c>
      <c r="E32" s="70"/>
      <c r="F32" s="70"/>
      <c r="G32" s="25">
        <v>20</v>
      </c>
      <c r="H32" s="25" t="s">
        <v>174</v>
      </c>
      <c r="I32" s="25" t="s">
        <v>56</v>
      </c>
      <c r="J32" s="26">
        <v>3000000</v>
      </c>
      <c r="K32" s="25" t="s">
        <v>137</v>
      </c>
      <c r="L32" s="25" t="s">
        <v>54</v>
      </c>
      <c r="M32" s="25">
        <v>4</v>
      </c>
      <c r="N32" s="25" t="s">
        <v>43</v>
      </c>
      <c r="O32" s="25" t="s">
        <v>56</v>
      </c>
      <c r="P32" s="25" t="s">
        <v>56</v>
      </c>
      <c r="Q32" s="25" t="s">
        <v>56</v>
      </c>
      <c r="R32" s="25" t="s">
        <v>56</v>
      </c>
      <c r="S32" s="25" t="s">
        <v>56</v>
      </c>
      <c r="T32" s="25" t="s">
        <v>56</v>
      </c>
      <c r="U32" s="25" t="s">
        <v>56</v>
      </c>
      <c r="V32" s="25" t="s">
        <v>56</v>
      </c>
      <c r="W32" s="25" t="s">
        <v>56</v>
      </c>
      <c r="X32" s="25" t="s">
        <v>56</v>
      </c>
      <c r="Y32" s="25" t="s">
        <v>56</v>
      </c>
      <c r="Z32" s="25" t="s">
        <v>56</v>
      </c>
      <c r="AA32" s="25" t="s">
        <v>56</v>
      </c>
      <c r="AB32" s="25" t="s">
        <v>56</v>
      </c>
      <c r="AC32" s="25" t="s">
        <v>56</v>
      </c>
      <c r="AD32" s="25" t="s">
        <v>56</v>
      </c>
      <c r="AE32" s="25" t="s">
        <v>56</v>
      </c>
      <c r="AF32" s="25" t="s">
        <v>56</v>
      </c>
      <c r="AG32" s="25" t="s">
        <v>56</v>
      </c>
      <c r="AH32" s="25" t="s">
        <v>56</v>
      </c>
      <c r="AI32" s="25" t="s">
        <v>56</v>
      </c>
      <c r="AJ32" s="25" t="s">
        <v>56</v>
      </c>
      <c r="AK32" s="25" t="s">
        <v>56</v>
      </c>
      <c r="AL32" s="25" t="s">
        <v>43</v>
      </c>
      <c r="AM32" s="25" t="s">
        <v>43</v>
      </c>
      <c r="AN32" s="25" t="s">
        <v>43</v>
      </c>
      <c r="AO32" s="25" t="s">
        <v>43</v>
      </c>
      <c r="AP32" s="25" t="s">
        <v>43</v>
      </c>
      <c r="AQ32" s="25" t="s">
        <v>43</v>
      </c>
      <c r="AR32" s="25" t="s">
        <v>43</v>
      </c>
      <c r="AS32" s="25" t="s">
        <v>43</v>
      </c>
      <c r="AT32" s="25" t="s">
        <v>43</v>
      </c>
      <c r="AU32" s="25" t="s">
        <v>43</v>
      </c>
      <c r="AV32" s="25" t="s">
        <v>43</v>
      </c>
      <c r="AW32" s="25" t="s">
        <v>43</v>
      </c>
      <c r="AX32" s="25" t="s">
        <v>43</v>
      </c>
      <c r="AY32" s="25" t="s">
        <v>43</v>
      </c>
      <c r="AZ32" s="25" t="s">
        <v>43</v>
      </c>
      <c r="BA32" s="25" t="s">
        <v>43</v>
      </c>
      <c r="BB32" s="25" t="s">
        <v>43</v>
      </c>
      <c r="BC32" s="25" t="s">
        <v>43</v>
      </c>
      <c r="BD32" s="25" t="s">
        <v>56</v>
      </c>
      <c r="BE32" s="25" t="s">
        <v>56</v>
      </c>
      <c r="BF32" s="25" t="s">
        <v>56</v>
      </c>
      <c r="BG32" s="25" t="s">
        <v>56</v>
      </c>
      <c r="BH32" s="25" t="s">
        <v>56</v>
      </c>
      <c r="BI32" s="25" t="s">
        <v>56</v>
      </c>
      <c r="BJ32" s="25" t="s">
        <v>56</v>
      </c>
      <c r="BK32" s="25" t="s">
        <v>56</v>
      </c>
      <c r="BL32" s="25" t="s">
        <v>56</v>
      </c>
      <c r="BM32" s="25" t="s">
        <v>56</v>
      </c>
      <c r="BN32" s="25" t="s">
        <v>56</v>
      </c>
      <c r="BO32" s="25" t="s">
        <v>56</v>
      </c>
      <c r="BP32" s="25" t="s">
        <v>56</v>
      </c>
      <c r="BQ32" s="25" t="s">
        <v>56</v>
      </c>
      <c r="BR32" s="25" t="s">
        <v>56</v>
      </c>
      <c r="BS32" s="25" t="s">
        <v>56</v>
      </c>
      <c r="BT32" s="25" t="s">
        <v>56</v>
      </c>
      <c r="BU32" s="25" t="s">
        <v>56</v>
      </c>
      <c r="BV32" s="25" t="s">
        <v>56</v>
      </c>
      <c r="BW32" s="25" t="s">
        <v>56</v>
      </c>
      <c r="BX32" s="25" t="s">
        <v>56</v>
      </c>
      <c r="BY32" s="25" t="s">
        <v>56</v>
      </c>
      <c r="BZ32" s="25" t="s">
        <v>56</v>
      </c>
      <c r="CA32" s="25" t="s">
        <v>56</v>
      </c>
      <c r="CB32" s="25" t="s">
        <v>56</v>
      </c>
      <c r="CC32" s="25" t="s">
        <v>56</v>
      </c>
      <c r="CD32" s="25" t="s">
        <v>56</v>
      </c>
      <c r="CE32" s="25" t="s">
        <v>56</v>
      </c>
      <c r="CF32" s="25" t="s">
        <v>56</v>
      </c>
      <c r="CG32" s="25" t="s">
        <v>56</v>
      </c>
      <c r="CH32" s="25" t="s">
        <v>56</v>
      </c>
      <c r="CI32" s="25" t="s">
        <v>56</v>
      </c>
      <c r="CJ32" s="25" t="s">
        <v>56</v>
      </c>
      <c r="CK32" s="25" t="s">
        <v>56</v>
      </c>
      <c r="CL32" s="25" t="s">
        <v>56</v>
      </c>
      <c r="CM32" s="25" t="s">
        <v>56</v>
      </c>
      <c r="CN32" s="25" t="s">
        <v>56</v>
      </c>
      <c r="CO32" s="25" t="s">
        <v>56</v>
      </c>
      <c r="CP32" s="25" t="s">
        <v>56</v>
      </c>
      <c r="CQ32" s="25" t="s">
        <v>56</v>
      </c>
      <c r="CR32" s="25" t="s">
        <v>56</v>
      </c>
      <c r="CS32" s="25" t="s">
        <v>56</v>
      </c>
      <c r="CT32" s="25" t="s">
        <v>56</v>
      </c>
      <c r="CU32" s="25" t="s">
        <v>56</v>
      </c>
      <c r="CV32" s="25" t="s">
        <v>56</v>
      </c>
      <c r="CW32" s="25" t="s">
        <v>56</v>
      </c>
      <c r="CX32" s="25" t="s">
        <v>56</v>
      </c>
      <c r="CY32" s="25" t="s">
        <v>56</v>
      </c>
      <c r="CZ32" s="25" t="s">
        <v>56</v>
      </c>
      <c r="DA32" s="25" t="s">
        <v>56</v>
      </c>
      <c r="DB32" s="25" t="s">
        <v>56</v>
      </c>
      <c r="DC32" s="25" t="s">
        <v>56</v>
      </c>
      <c r="DD32" s="25" t="s">
        <v>56</v>
      </c>
      <c r="DE32" s="25" t="s">
        <v>56</v>
      </c>
      <c r="DF32" s="25" t="s">
        <v>43</v>
      </c>
      <c r="DG32" s="25" t="s">
        <v>43</v>
      </c>
      <c r="DH32" s="25" t="s">
        <v>43</v>
      </c>
      <c r="DI32" s="25" t="s">
        <v>43</v>
      </c>
      <c r="DJ32" s="25" t="s">
        <v>43</v>
      </c>
      <c r="DK32" s="25" t="s">
        <v>43</v>
      </c>
      <c r="DL32" s="25" t="s">
        <v>43</v>
      </c>
      <c r="DM32" s="25" t="s">
        <v>43</v>
      </c>
      <c r="DN32" s="25" t="s">
        <v>43</v>
      </c>
      <c r="DO32" s="25" t="s">
        <v>43</v>
      </c>
      <c r="DP32" s="25" t="s">
        <v>43</v>
      </c>
      <c r="DQ32" s="25" t="s">
        <v>43</v>
      </c>
      <c r="DR32" s="25" t="s">
        <v>43</v>
      </c>
      <c r="DS32" s="25" t="s">
        <v>43</v>
      </c>
      <c r="DT32" s="25" t="s">
        <v>43</v>
      </c>
      <c r="DU32" s="25" t="s">
        <v>43</v>
      </c>
      <c r="DV32" s="25" t="s">
        <v>43</v>
      </c>
      <c r="DW32" s="25" t="s">
        <v>43</v>
      </c>
    </row>
    <row r="33" spans="1:130" s="25" customFormat="1" ht="24.6" customHeight="1">
      <c r="A33" s="25">
        <v>30</v>
      </c>
      <c r="B33" s="25" t="s">
        <v>175</v>
      </c>
      <c r="C33" s="45">
        <v>699814462</v>
      </c>
      <c r="D33" s="25" t="s">
        <v>177</v>
      </c>
      <c r="E33" s="70"/>
      <c r="F33" s="70"/>
      <c r="G33" s="25">
        <v>10</v>
      </c>
      <c r="H33" s="25" t="s">
        <v>178</v>
      </c>
      <c r="I33" s="25" t="s">
        <v>56</v>
      </c>
      <c r="J33" s="26">
        <v>25000000</v>
      </c>
      <c r="K33" s="25" t="s">
        <v>168</v>
      </c>
      <c r="L33" s="25" t="s">
        <v>176</v>
      </c>
      <c r="M33" s="25">
        <v>17</v>
      </c>
      <c r="N33" s="25" t="s">
        <v>43</v>
      </c>
      <c r="O33" s="25" t="s">
        <v>43</v>
      </c>
      <c r="P33" s="25" t="s">
        <v>56</v>
      </c>
      <c r="Q33" s="25" t="s">
        <v>56</v>
      </c>
      <c r="R33" s="25" t="s">
        <v>56</v>
      </c>
      <c r="S33" s="25" t="s">
        <v>56</v>
      </c>
      <c r="T33" s="25" t="s">
        <v>56</v>
      </c>
      <c r="U33" s="25" t="s">
        <v>56</v>
      </c>
      <c r="V33" s="25" t="s">
        <v>56</v>
      </c>
      <c r="W33" s="25" t="s">
        <v>56</v>
      </c>
      <c r="X33" s="25" t="s">
        <v>56</v>
      </c>
      <c r="Y33" s="25" t="s">
        <v>56</v>
      </c>
      <c r="Z33" s="25" t="s">
        <v>56</v>
      </c>
      <c r="AA33" s="25" t="s">
        <v>56</v>
      </c>
      <c r="AB33" s="25" t="s">
        <v>56</v>
      </c>
      <c r="AC33" s="25" t="s">
        <v>56</v>
      </c>
      <c r="AD33" s="25" t="s">
        <v>56</v>
      </c>
      <c r="AE33" s="25" t="s">
        <v>56</v>
      </c>
      <c r="AF33" s="25" t="s">
        <v>56</v>
      </c>
      <c r="AG33" s="25" t="s">
        <v>56</v>
      </c>
      <c r="AH33" s="25" t="s">
        <v>56</v>
      </c>
      <c r="AI33" s="25" t="s">
        <v>56</v>
      </c>
      <c r="AJ33" s="25" t="s">
        <v>56</v>
      </c>
      <c r="AK33" s="25" t="s">
        <v>56</v>
      </c>
      <c r="AL33" s="25" t="s">
        <v>56</v>
      </c>
      <c r="AM33" s="25" t="s">
        <v>56</v>
      </c>
      <c r="AN33" s="25" t="s">
        <v>56</v>
      </c>
      <c r="AO33" s="25" t="s">
        <v>56</v>
      </c>
      <c r="AP33" s="25" t="s">
        <v>56</v>
      </c>
      <c r="AQ33" s="25" t="s">
        <v>56</v>
      </c>
      <c r="AR33" s="25" t="s">
        <v>56</v>
      </c>
      <c r="AS33" s="25" t="s">
        <v>56</v>
      </c>
      <c r="AT33" s="25" t="s">
        <v>56</v>
      </c>
      <c r="AU33" s="25" t="s">
        <v>56</v>
      </c>
      <c r="AV33" s="25" t="s">
        <v>56</v>
      </c>
      <c r="AW33" s="25" t="s">
        <v>56</v>
      </c>
      <c r="AX33" s="25" t="s">
        <v>56</v>
      </c>
      <c r="AY33" s="25" t="s">
        <v>56</v>
      </c>
      <c r="AZ33" s="25" t="s">
        <v>56</v>
      </c>
      <c r="BA33" s="25" t="s">
        <v>56</v>
      </c>
      <c r="BB33" s="25" t="s">
        <v>56</v>
      </c>
      <c r="BC33" s="25" t="s">
        <v>56</v>
      </c>
      <c r="BD33" s="25" t="s">
        <v>56</v>
      </c>
      <c r="BE33" s="25" t="s">
        <v>56</v>
      </c>
      <c r="BF33" s="25" t="s">
        <v>56</v>
      </c>
      <c r="BG33" s="25" t="s">
        <v>56</v>
      </c>
      <c r="BH33" s="25" t="s">
        <v>56</v>
      </c>
      <c r="BI33" s="25" t="s">
        <v>56</v>
      </c>
      <c r="BJ33" s="25" t="s">
        <v>56</v>
      </c>
      <c r="BK33" s="25" t="s">
        <v>56</v>
      </c>
      <c r="BL33" s="25" t="s">
        <v>56</v>
      </c>
      <c r="BM33" s="25" t="s">
        <v>56</v>
      </c>
      <c r="BN33" s="25" t="s">
        <v>56</v>
      </c>
      <c r="BO33" s="25" t="s">
        <v>56</v>
      </c>
      <c r="BP33" s="25" t="s">
        <v>56</v>
      </c>
      <c r="BQ33" s="25" t="s">
        <v>56</v>
      </c>
      <c r="BR33" s="25" t="s">
        <v>56</v>
      </c>
      <c r="BS33" s="25" t="s">
        <v>56</v>
      </c>
      <c r="BT33" s="25" t="s">
        <v>56</v>
      </c>
      <c r="BU33" s="25" t="s">
        <v>56</v>
      </c>
      <c r="BV33" s="25" t="s">
        <v>56</v>
      </c>
      <c r="BW33" s="25" t="s">
        <v>56</v>
      </c>
      <c r="BX33" s="25" t="s">
        <v>56</v>
      </c>
      <c r="BY33" s="25" t="s">
        <v>56</v>
      </c>
      <c r="BZ33" s="25" t="s">
        <v>56</v>
      </c>
      <c r="CA33" s="25" t="s">
        <v>56</v>
      </c>
      <c r="CB33" s="25" t="s">
        <v>56</v>
      </c>
      <c r="CC33" s="25" t="s">
        <v>56</v>
      </c>
      <c r="CD33" s="25" t="s">
        <v>56</v>
      </c>
      <c r="CE33" s="25" t="s">
        <v>56</v>
      </c>
      <c r="CF33" s="25" t="s">
        <v>56</v>
      </c>
      <c r="CG33" s="25" t="s">
        <v>56</v>
      </c>
      <c r="CH33" s="25" t="s">
        <v>56</v>
      </c>
      <c r="CI33" s="25" t="s">
        <v>56</v>
      </c>
      <c r="CJ33" s="25" t="s">
        <v>56</v>
      </c>
      <c r="CK33" s="25" t="s">
        <v>56</v>
      </c>
      <c r="CL33" s="25" t="s">
        <v>56</v>
      </c>
      <c r="CM33" s="25" t="s">
        <v>56</v>
      </c>
      <c r="CN33" s="25" t="s">
        <v>43</v>
      </c>
      <c r="CO33" s="25" t="s">
        <v>43</v>
      </c>
      <c r="CP33" s="25" t="s">
        <v>43</v>
      </c>
      <c r="CQ33" s="25" t="s">
        <v>43</v>
      </c>
      <c r="CR33" s="25" t="s">
        <v>43</v>
      </c>
      <c r="CS33" s="25" t="s">
        <v>43</v>
      </c>
      <c r="CT33" s="25" t="s">
        <v>43</v>
      </c>
      <c r="CU33" s="25" t="s">
        <v>43</v>
      </c>
      <c r="CV33" s="25" t="s">
        <v>43</v>
      </c>
      <c r="CW33" s="25" t="s">
        <v>43</v>
      </c>
      <c r="CX33" s="25" t="s">
        <v>43</v>
      </c>
      <c r="CY33" s="25" t="s">
        <v>43</v>
      </c>
      <c r="CZ33" s="25" t="s">
        <v>43</v>
      </c>
      <c r="DA33" s="25" t="s">
        <v>43</v>
      </c>
      <c r="DB33" s="25" t="s">
        <v>43</v>
      </c>
      <c r="DC33" s="25" t="s">
        <v>43</v>
      </c>
      <c r="DD33" s="25" t="s">
        <v>43</v>
      </c>
      <c r="DE33" s="25" t="s">
        <v>43</v>
      </c>
      <c r="DF33" s="25" t="s">
        <v>56</v>
      </c>
      <c r="DG33" s="25" t="s">
        <v>56</v>
      </c>
      <c r="DH33" s="25" t="s">
        <v>56</v>
      </c>
      <c r="DI33" s="25" t="s">
        <v>56</v>
      </c>
      <c r="DJ33" s="25" t="s">
        <v>56</v>
      </c>
      <c r="DK33" s="25" t="s">
        <v>56</v>
      </c>
      <c r="DL33" s="25" t="s">
        <v>56</v>
      </c>
      <c r="DM33" s="25" t="s">
        <v>56</v>
      </c>
      <c r="DN33" s="25" t="s">
        <v>56</v>
      </c>
      <c r="DO33" s="25" t="s">
        <v>56</v>
      </c>
      <c r="DP33" s="25" t="s">
        <v>56</v>
      </c>
      <c r="DQ33" s="25" t="s">
        <v>56</v>
      </c>
      <c r="DR33" s="25" t="s">
        <v>56</v>
      </c>
      <c r="DS33" s="25" t="s">
        <v>56</v>
      </c>
      <c r="DT33" s="25" t="s">
        <v>56</v>
      </c>
      <c r="DU33" s="25" t="s">
        <v>56</v>
      </c>
      <c r="DV33" s="25" t="s">
        <v>56</v>
      </c>
      <c r="DW33" s="25" t="s">
        <v>56</v>
      </c>
    </row>
    <row r="34" spans="1:130" s="25" customFormat="1" ht="24.6" customHeight="1">
      <c r="A34" s="25">
        <v>31</v>
      </c>
      <c r="B34" t="s">
        <v>181</v>
      </c>
      <c r="C34" s="45">
        <v>696819231</v>
      </c>
      <c r="D34" s="25" t="s">
        <v>53</v>
      </c>
      <c r="E34" s="70"/>
      <c r="F34" s="70"/>
      <c r="G34" s="25">
        <v>25</v>
      </c>
      <c r="H34" s="25" t="s">
        <v>183</v>
      </c>
      <c r="I34" s="25" t="s">
        <v>56</v>
      </c>
      <c r="J34" s="26">
        <v>3600000</v>
      </c>
      <c r="K34" s="25" t="s">
        <v>137</v>
      </c>
      <c r="L34" s="25" t="s">
        <v>182</v>
      </c>
      <c r="M34" s="25">
        <v>20</v>
      </c>
      <c r="N34" s="25" t="s">
        <v>43</v>
      </c>
      <c r="O34" s="25" t="s">
        <v>56</v>
      </c>
      <c r="P34" s="25" t="s">
        <v>56</v>
      </c>
      <c r="Q34" s="25" t="s">
        <v>56</v>
      </c>
      <c r="R34" s="25" t="s">
        <v>56</v>
      </c>
      <c r="S34" s="25" t="s">
        <v>56</v>
      </c>
      <c r="T34" s="25" t="s">
        <v>56</v>
      </c>
      <c r="U34" s="25" t="s">
        <v>56</v>
      </c>
      <c r="V34" s="25" t="s">
        <v>56</v>
      </c>
      <c r="W34" s="25" t="s">
        <v>56</v>
      </c>
      <c r="X34" s="25" t="s">
        <v>56</v>
      </c>
      <c r="Y34" s="25" t="s">
        <v>56</v>
      </c>
      <c r="Z34" s="25" t="s">
        <v>56</v>
      </c>
      <c r="AA34" s="25" t="s">
        <v>56</v>
      </c>
      <c r="AB34" s="25" t="s">
        <v>56</v>
      </c>
      <c r="AC34" s="25" t="s">
        <v>56</v>
      </c>
      <c r="AD34" s="25" t="s">
        <v>56</v>
      </c>
      <c r="AE34" s="25" t="s">
        <v>56</v>
      </c>
      <c r="AF34" s="25" t="s">
        <v>56</v>
      </c>
      <c r="AG34" s="25" t="s">
        <v>56</v>
      </c>
      <c r="AH34" s="25" t="s">
        <v>56</v>
      </c>
      <c r="AI34" s="25" t="s">
        <v>56</v>
      </c>
      <c r="AJ34" s="25" t="s">
        <v>56</v>
      </c>
      <c r="AK34" s="25" t="s">
        <v>56</v>
      </c>
      <c r="AL34" s="25" t="s">
        <v>43</v>
      </c>
      <c r="AM34" s="25" t="s">
        <v>43</v>
      </c>
      <c r="AN34" s="25" t="s">
        <v>43</v>
      </c>
      <c r="AO34" s="25" t="s">
        <v>43</v>
      </c>
      <c r="AP34" s="25" t="s">
        <v>43</v>
      </c>
      <c r="AQ34" s="25" t="s">
        <v>43</v>
      </c>
      <c r="AR34" s="25" t="s">
        <v>43</v>
      </c>
      <c r="AS34" s="25" t="s">
        <v>43</v>
      </c>
      <c r="AT34" s="25" t="s">
        <v>43</v>
      </c>
      <c r="AU34" s="25" t="s">
        <v>43</v>
      </c>
      <c r="AV34" s="25" t="s">
        <v>43</v>
      </c>
      <c r="AW34" s="25" t="s">
        <v>43</v>
      </c>
      <c r="AX34" s="25" t="s">
        <v>43</v>
      </c>
      <c r="AY34" s="25" t="s">
        <v>43</v>
      </c>
      <c r="AZ34" s="25" t="s">
        <v>43</v>
      </c>
      <c r="BA34" s="25" t="s">
        <v>43</v>
      </c>
      <c r="BB34" s="25" t="s">
        <v>43</v>
      </c>
      <c r="BC34" s="25" t="s">
        <v>43</v>
      </c>
      <c r="BD34" s="25" t="s">
        <v>43</v>
      </c>
      <c r="BE34" s="25" t="s">
        <v>43</v>
      </c>
      <c r="BF34" s="25" t="s">
        <v>43</v>
      </c>
      <c r="BG34" s="25" t="s">
        <v>43</v>
      </c>
      <c r="BH34" s="25" t="s">
        <v>43</v>
      </c>
      <c r="BI34" s="25" t="s">
        <v>43</v>
      </c>
      <c r="BJ34" s="25" t="s">
        <v>43</v>
      </c>
      <c r="BK34" s="25" t="s">
        <v>43</v>
      </c>
      <c r="BL34" s="25" t="s">
        <v>43</v>
      </c>
      <c r="BM34" s="25" t="s">
        <v>43</v>
      </c>
      <c r="BN34" s="25" t="s">
        <v>43</v>
      </c>
      <c r="BO34" s="25" t="s">
        <v>43</v>
      </c>
      <c r="BP34" s="25" t="s">
        <v>43</v>
      </c>
      <c r="BQ34" s="25" t="s">
        <v>43</v>
      </c>
      <c r="BR34" s="25" t="s">
        <v>43</v>
      </c>
      <c r="BS34" s="25" t="s">
        <v>43</v>
      </c>
      <c r="BT34" s="25" t="s">
        <v>43</v>
      </c>
      <c r="BU34" s="25" t="s">
        <v>43</v>
      </c>
      <c r="BV34" s="25" t="s">
        <v>43</v>
      </c>
      <c r="BW34" s="25" t="s">
        <v>43</v>
      </c>
      <c r="BX34" s="25" t="s">
        <v>43</v>
      </c>
      <c r="BY34" s="25" t="s">
        <v>43</v>
      </c>
      <c r="BZ34" s="25" t="s">
        <v>43</v>
      </c>
      <c r="CA34" s="25" t="s">
        <v>43</v>
      </c>
      <c r="CB34" s="25" t="s">
        <v>43</v>
      </c>
      <c r="CC34" s="25" t="s">
        <v>43</v>
      </c>
      <c r="CD34" s="25" t="s">
        <v>43</v>
      </c>
      <c r="CE34" s="25" t="s">
        <v>43</v>
      </c>
      <c r="CF34" s="25" t="s">
        <v>43</v>
      </c>
      <c r="CG34" s="25" t="s">
        <v>43</v>
      </c>
      <c r="CH34" s="25" t="s">
        <v>43</v>
      </c>
      <c r="CI34" s="25" t="s">
        <v>43</v>
      </c>
      <c r="CJ34" s="25" t="s">
        <v>43</v>
      </c>
      <c r="CK34" s="25" t="s">
        <v>43</v>
      </c>
      <c r="CL34" s="25" t="s">
        <v>43</v>
      </c>
      <c r="CM34" s="25" t="s">
        <v>43</v>
      </c>
      <c r="CN34" s="25" t="s">
        <v>43</v>
      </c>
      <c r="CO34" s="25" t="s">
        <v>43</v>
      </c>
      <c r="CP34" s="25" t="s">
        <v>43</v>
      </c>
      <c r="CQ34" s="25" t="s">
        <v>43</v>
      </c>
      <c r="CR34" s="25" t="s">
        <v>43</v>
      </c>
      <c r="CS34" s="25" t="s">
        <v>43</v>
      </c>
      <c r="CT34" s="25" t="s">
        <v>43</v>
      </c>
      <c r="CU34" s="25" t="s">
        <v>43</v>
      </c>
      <c r="CV34" s="25" t="s">
        <v>43</v>
      </c>
      <c r="CW34" s="25" t="s">
        <v>43</v>
      </c>
      <c r="CX34" s="25" t="s">
        <v>43</v>
      </c>
      <c r="CY34" s="25" t="s">
        <v>43</v>
      </c>
      <c r="CZ34" s="25" t="s">
        <v>43</v>
      </c>
      <c r="DA34" s="25" t="s">
        <v>43</v>
      </c>
      <c r="DB34" s="25" t="s">
        <v>43</v>
      </c>
      <c r="DC34" s="25" t="s">
        <v>43</v>
      </c>
      <c r="DD34" s="25" t="s">
        <v>43</v>
      </c>
      <c r="DE34" s="25" t="s">
        <v>43</v>
      </c>
      <c r="DF34" s="25" t="s">
        <v>43</v>
      </c>
      <c r="DG34" s="25" t="s">
        <v>43</v>
      </c>
      <c r="DH34" s="25" t="s">
        <v>43</v>
      </c>
      <c r="DI34" s="25" t="s">
        <v>43</v>
      </c>
      <c r="DJ34" s="25" t="s">
        <v>43</v>
      </c>
      <c r="DK34" s="25" t="s">
        <v>43</v>
      </c>
      <c r="DL34" s="25" t="s">
        <v>43</v>
      </c>
      <c r="DM34" s="25" t="s">
        <v>43</v>
      </c>
      <c r="DN34" s="25" t="s">
        <v>43</v>
      </c>
      <c r="DO34" s="25" t="s">
        <v>43</v>
      </c>
      <c r="DP34" s="25" t="s">
        <v>43</v>
      </c>
      <c r="DQ34" s="25" t="s">
        <v>43</v>
      </c>
      <c r="DR34" s="25" t="s">
        <v>43</v>
      </c>
      <c r="DS34" s="25" t="s">
        <v>43</v>
      </c>
      <c r="DT34" s="25" t="s">
        <v>43</v>
      </c>
      <c r="DU34" s="25" t="s">
        <v>43</v>
      </c>
      <c r="DV34" s="25" t="s">
        <v>43</v>
      </c>
      <c r="DW34" s="25" t="s">
        <v>43</v>
      </c>
    </row>
    <row r="35" spans="1:130" s="25" customFormat="1" ht="24.6" customHeight="1">
      <c r="A35" s="65">
        <v>32</v>
      </c>
      <c r="B35" s="25" t="s">
        <v>190</v>
      </c>
      <c r="C35" s="45">
        <v>696255220</v>
      </c>
      <c r="D35" s="25" t="s">
        <v>193</v>
      </c>
      <c r="E35" s="70"/>
      <c r="F35" s="70"/>
      <c r="G35" s="25">
        <v>3</v>
      </c>
      <c r="H35" s="25" t="s">
        <v>192</v>
      </c>
      <c r="I35" s="25" t="s">
        <v>56</v>
      </c>
      <c r="J35" s="26">
        <v>2000000</v>
      </c>
      <c r="K35" s="25" t="s">
        <v>42</v>
      </c>
      <c r="L35" s="25" t="s">
        <v>191</v>
      </c>
      <c r="M35" s="25">
        <v>20</v>
      </c>
      <c r="N35" s="25" t="s">
        <v>43</v>
      </c>
      <c r="O35" s="25" t="s">
        <v>56</v>
      </c>
      <c r="P35" s="25" t="s">
        <v>56</v>
      </c>
      <c r="Q35" s="25" t="s">
        <v>56</v>
      </c>
      <c r="R35" s="25" t="s">
        <v>56</v>
      </c>
      <c r="S35" s="25" t="s">
        <v>56</v>
      </c>
      <c r="T35" s="25" t="s">
        <v>56</v>
      </c>
      <c r="U35" s="25" t="s">
        <v>56</v>
      </c>
      <c r="V35" s="25" t="s">
        <v>56</v>
      </c>
      <c r="W35" s="25" t="s">
        <v>56</v>
      </c>
      <c r="X35" s="25" t="s">
        <v>56</v>
      </c>
      <c r="Y35" s="25" t="s">
        <v>56</v>
      </c>
      <c r="Z35" s="25" t="s">
        <v>56</v>
      </c>
      <c r="AA35" s="25" t="s">
        <v>56</v>
      </c>
      <c r="AB35" s="25" t="s">
        <v>56</v>
      </c>
      <c r="AC35" s="25" t="s">
        <v>56</v>
      </c>
      <c r="AD35" s="25" t="s">
        <v>56</v>
      </c>
      <c r="AE35" s="25" t="s">
        <v>56</v>
      </c>
      <c r="AF35" s="25" t="s">
        <v>56</v>
      </c>
      <c r="AG35" s="25" t="s">
        <v>56</v>
      </c>
      <c r="AH35" s="25" t="s">
        <v>56</v>
      </c>
      <c r="AI35" s="25" t="s">
        <v>56</v>
      </c>
      <c r="AJ35" s="25" t="s">
        <v>56</v>
      </c>
      <c r="AK35" s="25" t="s">
        <v>56</v>
      </c>
      <c r="AL35" s="25" t="s">
        <v>43</v>
      </c>
      <c r="AM35" s="25" t="s">
        <v>43</v>
      </c>
      <c r="AN35" s="25" t="s">
        <v>43</v>
      </c>
      <c r="AO35" s="25" t="s">
        <v>43</v>
      </c>
      <c r="AP35" s="25" t="s">
        <v>43</v>
      </c>
      <c r="AQ35" s="25" t="s">
        <v>43</v>
      </c>
      <c r="AR35" s="25" t="s">
        <v>43</v>
      </c>
      <c r="AS35" s="25" t="s">
        <v>43</v>
      </c>
      <c r="AT35" s="25" t="s">
        <v>43</v>
      </c>
      <c r="AU35" s="25" t="s">
        <v>43</v>
      </c>
      <c r="AV35" s="25" t="s">
        <v>43</v>
      </c>
      <c r="AW35" s="25" t="s">
        <v>43</v>
      </c>
      <c r="AX35" s="25" t="s">
        <v>43</v>
      </c>
      <c r="AY35" s="25" t="s">
        <v>43</v>
      </c>
      <c r="AZ35" s="25" t="s">
        <v>43</v>
      </c>
      <c r="BA35" s="25" t="s">
        <v>43</v>
      </c>
      <c r="BB35" s="25" t="s">
        <v>43</v>
      </c>
      <c r="BC35" s="25" t="s">
        <v>43</v>
      </c>
      <c r="BD35" s="25" t="s">
        <v>43</v>
      </c>
      <c r="BE35" s="25" t="s">
        <v>43</v>
      </c>
      <c r="BF35" s="25" t="s">
        <v>43</v>
      </c>
      <c r="BG35" s="25" t="s">
        <v>43</v>
      </c>
      <c r="BH35" s="25" t="s">
        <v>43</v>
      </c>
      <c r="BI35" s="25" t="s">
        <v>43</v>
      </c>
      <c r="BJ35" s="25" t="s">
        <v>43</v>
      </c>
      <c r="BK35" s="25" t="s">
        <v>43</v>
      </c>
      <c r="BL35" s="25" t="s">
        <v>43</v>
      </c>
      <c r="BM35" s="25" t="s">
        <v>43</v>
      </c>
      <c r="BN35" s="25" t="s">
        <v>43</v>
      </c>
      <c r="BO35" s="25" t="s">
        <v>43</v>
      </c>
      <c r="BP35" s="25" t="s">
        <v>43</v>
      </c>
      <c r="BQ35" s="25" t="s">
        <v>43</v>
      </c>
      <c r="BR35" s="25" t="s">
        <v>43</v>
      </c>
      <c r="BS35" s="25" t="s">
        <v>43</v>
      </c>
      <c r="BT35" s="25" t="s">
        <v>43</v>
      </c>
      <c r="BU35" s="25" t="s">
        <v>43</v>
      </c>
      <c r="BV35" s="25" t="s">
        <v>43</v>
      </c>
      <c r="BW35" s="25" t="s">
        <v>43</v>
      </c>
      <c r="BX35" s="25" t="s">
        <v>43</v>
      </c>
      <c r="BY35" s="25" t="s">
        <v>43</v>
      </c>
      <c r="BZ35" s="25" t="s">
        <v>43</v>
      </c>
      <c r="CA35" s="25" t="s">
        <v>43</v>
      </c>
      <c r="CB35" s="25" t="s">
        <v>43</v>
      </c>
      <c r="CC35" s="25" t="s">
        <v>43</v>
      </c>
      <c r="CD35" s="25" t="s">
        <v>43</v>
      </c>
      <c r="CE35" s="25" t="s">
        <v>43</v>
      </c>
      <c r="CF35" s="25" t="s">
        <v>43</v>
      </c>
      <c r="CG35" s="25" t="s">
        <v>43</v>
      </c>
      <c r="CH35" s="25" t="s">
        <v>43</v>
      </c>
      <c r="CI35" s="25" t="s">
        <v>43</v>
      </c>
      <c r="CJ35" s="25" t="s">
        <v>43</v>
      </c>
      <c r="CK35" s="25" t="s">
        <v>43</v>
      </c>
      <c r="CL35" s="25" t="s">
        <v>43</v>
      </c>
      <c r="CM35" s="25" t="s">
        <v>43</v>
      </c>
      <c r="CN35" s="25" t="s">
        <v>43</v>
      </c>
      <c r="CO35" s="25" t="s">
        <v>43</v>
      </c>
      <c r="CP35" s="25" t="s">
        <v>43</v>
      </c>
      <c r="CQ35" s="25" t="s">
        <v>43</v>
      </c>
      <c r="CR35" s="25" t="s">
        <v>43</v>
      </c>
      <c r="CS35" s="25" t="s">
        <v>43</v>
      </c>
      <c r="CT35" s="25" t="s">
        <v>43</v>
      </c>
      <c r="CU35" s="25" t="s">
        <v>43</v>
      </c>
      <c r="CV35" s="25" t="s">
        <v>43</v>
      </c>
      <c r="CW35" s="25" t="s">
        <v>43</v>
      </c>
      <c r="CX35" s="25" t="s">
        <v>43</v>
      </c>
      <c r="CY35" s="25" t="s">
        <v>43</v>
      </c>
      <c r="CZ35" s="25" t="s">
        <v>43</v>
      </c>
      <c r="DA35" s="25" t="s">
        <v>43</v>
      </c>
      <c r="DB35" s="25" t="s">
        <v>43</v>
      </c>
      <c r="DC35" s="25" t="s">
        <v>43</v>
      </c>
      <c r="DD35" s="25" t="s">
        <v>43</v>
      </c>
      <c r="DE35" s="25" t="s">
        <v>43</v>
      </c>
      <c r="DF35" s="25" t="s">
        <v>43</v>
      </c>
      <c r="DG35" s="25" t="s">
        <v>43</v>
      </c>
      <c r="DH35" s="25" t="s">
        <v>43</v>
      </c>
      <c r="DI35" s="25" t="s">
        <v>43</v>
      </c>
      <c r="DJ35" s="25" t="s">
        <v>43</v>
      </c>
      <c r="DK35" s="25" t="s">
        <v>43</v>
      </c>
      <c r="DL35" s="25" t="s">
        <v>43</v>
      </c>
      <c r="DM35" s="25" t="s">
        <v>43</v>
      </c>
      <c r="DN35" s="25" t="s">
        <v>43</v>
      </c>
      <c r="DO35" s="25" t="s">
        <v>43</v>
      </c>
      <c r="DP35" s="25" t="s">
        <v>43</v>
      </c>
      <c r="DQ35" s="25" t="s">
        <v>43</v>
      </c>
      <c r="DR35" s="25" t="s">
        <v>43</v>
      </c>
      <c r="DS35" s="25" t="s">
        <v>43</v>
      </c>
      <c r="DT35" s="25" t="s">
        <v>43</v>
      </c>
      <c r="DU35" s="25" t="s">
        <v>43</v>
      </c>
      <c r="DV35" s="25" t="s">
        <v>43</v>
      </c>
      <c r="DW35" s="25" t="s">
        <v>43</v>
      </c>
    </row>
    <row r="36" spans="1:130" s="25" customFormat="1" ht="24.6" customHeight="1">
      <c r="A36" s="65">
        <v>33</v>
      </c>
      <c r="B36" s="25" t="s">
        <v>196</v>
      </c>
      <c r="C36" s="45">
        <v>682247271</v>
      </c>
      <c r="D36" s="25" t="s">
        <v>195</v>
      </c>
      <c r="E36" s="70"/>
      <c r="F36" s="70"/>
      <c r="G36" s="25">
        <v>1</v>
      </c>
      <c r="H36" s="25" t="s">
        <v>197</v>
      </c>
      <c r="I36" s="25" t="s">
        <v>56</v>
      </c>
      <c r="J36" s="26">
        <v>200000</v>
      </c>
      <c r="K36" s="25" t="s">
        <v>153</v>
      </c>
      <c r="L36" s="25" t="s">
        <v>194</v>
      </c>
      <c r="M36" s="25">
        <v>5</v>
      </c>
      <c r="N36" s="25" t="s">
        <v>43</v>
      </c>
      <c r="O36" s="25" t="s">
        <v>56</v>
      </c>
      <c r="P36" s="25" t="s">
        <v>56</v>
      </c>
      <c r="Q36" s="25" t="s">
        <v>56</v>
      </c>
      <c r="R36" s="25" t="s">
        <v>56</v>
      </c>
      <c r="S36" s="25" t="s">
        <v>56</v>
      </c>
      <c r="T36" s="25" t="s">
        <v>56</v>
      </c>
      <c r="U36" s="25" t="s">
        <v>56</v>
      </c>
      <c r="V36" s="25" t="s">
        <v>56</v>
      </c>
      <c r="W36" s="25" t="s">
        <v>56</v>
      </c>
      <c r="X36" s="25" t="s">
        <v>56</v>
      </c>
      <c r="Y36" s="25" t="s">
        <v>56</v>
      </c>
      <c r="Z36" s="25" t="s">
        <v>56</v>
      </c>
      <c r="AA36" s="25" t="s">
        <v>56</v>
      </c>
      <c r="AB36" s="25" t="s">
        <v>56</v>
      </c>
      <c r="AC36" s="25" t="s">
        <v>56</v>
      </c>
      <c r="AD36" s="25" t="s">
        <v>56</v>
      </c>
      <c r="AE36" s="25" t="s">
        <v>56</v>
      </c>
      <c r="AF36" s="25" t="s">
        <v>56</v>
      </c>
      <c r="AG36" s="25" t="s">
        <v>56</v>
      </c>
      <c r="AH36" s="25" t="s">
        <v>56</v>
      </c>
      <c r="AI36" s="25" t="s">
        <v>56</v>
      </c>
      <c r="AJ36" s="25" t="s">
        <v>56</v>
      </c>
      <c r="AK36" s="25" t="s">
        <v>56</v>
      </c>
      <c r="AL36" s="25" t="s">
        <v>56</v>
      </c>
      <c r="AM36" s="25" t="s">
        <v>56</v>
      </c>
      <c r="AN36" s="25" t="s">
        <v>56</v>
      </c>
      <c r="AO36" s="25" t="s">
        <v>56</v>
      </c>
      <c r="AP36" s="25" t="s">
        <v>56</v>
      </c>
      <c r="AQ36" s="25" t="s">
        <v>56</v>
      </c>
      <c r="AR36" s="25" t="s">
        <v>56</v>
      </c>
      <c r="AS36" s="25" t="s">
        <v>56</v>
      </c>
      <c r="AT36" s="25" t="s">
        <v>56</v>
      </c>
      <c r="AU36" s="25" t="s">
        <v>56</v>
      </c>
      <c r="AV36" s="25" t="s">
        <v>56</v>
      </c>
      <c r="AW36" s="25" t="s">
        <v>56</v>
      </c>
      <c r="AX36" s="25" t="s">
        <v>56</v>
      </c>
      <c r="AY36" s="25" t="s">
        <v>56</v>
      </c>
      <c r="AZ36" s="25" t="s">
        <v>56</v>
      </c>
      <c r="BA36" s="25" t="s">
        <v>56</v>
      </c>
      <c r="BB36" s="25" t="s">
        <v>56</v>
      </c>
      <c r="BC36" s="25" t="s">
        <v>56</v>
      </c>
      <c r="BD36" s="25" t="s">
        <v>56</v>
      </c>
      <c r="BE36" s="25" t="s">
        <v>56</v>
      </c>
      <c r="BF36" s="25" t="s">
        <v>56</v>
      </c>
      <c r="BG36" s="25" t="s">
        <v>56</v>
      </c>
      <c r="BH36" s="25" t="s">
        <v>56</v>
      </c>
      <c r="BI36" s="25" t="s">
        <v>56</v>
      </c>
      <c r="BJ36" s="25" t="s">
        <v>56</v>
      </c>
      <c r="BK36" s="25" t="s">
        <v>56</v>
      </c>
      <c r="BL36" s="25" t="s">
        <v>56</v>
      </c>
      <c r="BM36" s="25" t="s">
        <v>56</v>
      </c>
      <c r="BN36" s="25" t="s">
        <v>56</v>
      </c>
      <c r="BO36" s="25" t="s">
        <v>56</v>
      </c>
      <c r="BP36" s="25" t="s">
        <v>56</v>
      </c>
      <c r="BQ36" s="25" t="s">
        <v>56</v>
      </c>
      <c r="BR36" s="25" t="s">
        <v>56</v>
      </c>
      <c r="BS36" s="25" t="s">
        <v>56</v>
      </c>
      <c r="BT36" s="25" t="s">
        <v>56</v>
      </c>
      <c r="BU36" s="25" t="s">
        <v>56</v>
      </c>
      <c r="BV36" s="25" t="s">
        <v>43</v>
      </c>
      <c r="BW36" s="25" t="s">
        <v>43</v>
      </c>
      <c r="BX36" s="25" t="s">
        <v>43</v>
      </c>
      <c r="BY36" s="25" t="s">
        <v>43</v>
      </c>
      <c r="BZ36" s="25" t="s">
        <v>43</v>
      </c>
      <c r="CA36" s="25" t="s">
        <v>43</v>
      </c>
      <c r="CB36" s="25" t="s">
        <v>43</v>
      </c>
      <c r="CC36" s="25" t="s">
        <v>43</v>
      </c>
      <c r="CD36" s="25" t="s">
        <v>43</v>
      </c>
      <c r="CE36" s="25" t="s">
        <v>43</v>
      </c>
      <c r="CF36" s="25" t="s">
        <v>43</v>
      </c>
      <c r="CG36" s="25" t="s">
        <v>43</v>
      </c>
      <c r="CH36" s="25" t="s">
        <v>43</v>
      </c>
      <c r="CI36" s="25" t="s">
        <v>43</v>
      </c>
      <c r="CJ36" s="25" t="s">
        <v>43</v>
      </c>
      <c r="CK36" s="25" t="s">
        <v>43</v>
      </c>
      <c r="CL36" s="25" t="s">
        <v>43</v>
      </c>
      <c r="CM36" s="25" t="s">
        <v>43</v>
      </c>
      <c r="CN36" s="25" t="s">
        <v>56</v>
      </c>
      <c r="CO36" s="25" t="s">
        <v>56</v>
      </c>
      <c r="CP36" s="25" t="s">
        <v>56</v>
      </c>
      <c r="CQ36" s="25" t="s">
        <v>56</v>
      </c>
      <c r="CR36" s="25" t="s">
        <v>56</v>
      </c>
      <c r="CS36" s="25" t="s">
        <v>56</v>
      </c>
      <c r="CT36" s="25" t="s">
        <v>56</v>
      </c>
      <c r="CU36" s="25" t="s">
        <v>56</v>
      </c>
      <c r="CV36" s="25" t="s">
        <v>56</v>
      </c>
      <c r="CW36" s="25" t="s">
        <v>56</v>
      </c>
      <c r="CX36" s="25" t="s">
        <v>56</v>
      </c>
      <c r="CY36" s="25" t="s">
        <v>56</v>
      </c>
      <c r="CZ36" s="25" t="s">
        <v>56</v>
      </c>
      <c r="DA36" s="25" t="s">
        <v>56</v>
      </c>
      <c r="DB36" s="25" t="s">
        <v>56</v>
      </c>
      <c r="DC36" s="25" t="s">
        <v>56</v>
      </c>
      <c r="DD36" s="25" t="s">
        <v>56</v>
      </c>
      <c r="DE36" s="25" t="s">
        <v>56</v>
      </c>
      <c r="DF36" s="25" t="s">
        <v>56</v>
      </c>
      <c r="DG36" s="25" t="s">
        <v>56</v>
      </c>
      <c r="DH36" s="25" t="s">
        <v>56</v>
      </c>
      <c r="DI36" s="25" t="s">
        <v>56</v>
      </c>
      <c r="DJ36" s="25" t="s">
        <v>56</v>
      </c>
      <c r="DK36" s="25" t="s">
        <v>56</v>
      </c>
      <c r="DL36" s="25" t="s">
        <v>56</v>
      </c>
      <c r="DM36" s="25" t="s">
        <v>56</v>
      </c>
      <c r="DN36" s="25" t="s">
        <v>56</v>
      </c>
      <c r="DO36" s="25" t="s">
        <v>56</v>
      </c>
      <c r="DP36" s="25" t="s">
        <v>56</v>
      </c>
      <c r="DQ36" s="25" t="s">
        <v>56</v>
      </c>
      <c r="DR36" s="25" t="s">
        <v>56</v>
      </c>
      <c r="DS36" s="25" t="s">
        <v>56</v>
      </c>
      <c r="DT36" s="25" t="s">
        <v>56</v>
      </c>
      <c r="DU36" s="25" t="s">
        <v>56</v>
      </c>
      <c r="DV36" s="25" t="s">
        <v>56</v>
      </c>
      <c r="DW36" s="25" t="s">
        <v>56</v>
      </c>
    </row>
    <row r="37" spans="1:130" s="25" customFormat="1" ht="24.6" customHeight="1">
      <c r="A37" s="65">
        <v>34</v>
      </c>
      <c r="B37" s="25" t="s">
        <v>200</v>
      </c>
      <c r="C37" s="45">
        <v>695752643</v>
      </c>
      <c r="D37" s="25" t="s">
        <v>55</v>
      </c>
      <c r="E37" s="70"/>
      <c r="F37" s="70"/>
      <c r="G37" s="25">
        <v>1</v>
      </c>
      <c r="H37" s="25" t="s">
        <v>202</v>
      </c>
      <c r="I37" s="25" t="s">
        <v>56</v>
      </c>
      <c r="J37" s="26">
        <v>100000</v>
      </c>
      <c r="K37" s="25" t="s">
        <v>153</v>
      </c>
      <c r="L37" s="25" t="s">
        <v>198</v>
      </c>
      <c r="M37" s="25">
        <v>2</v>
      </c>
      <c r="N37" s="25" t="s">
        <v>56</v>
      </c>
      <c r="O37" s="25" t="s">
        <v>56</v>
      </c>
      <c r="P37" s="25" t="s">
        <v>56</v>
      </c>
      <c r="Q37" s="25" t="s">
        <v>43</v>
      </c>
      <c r="R37" s="25" t="s">
        <v>56</v>
      </c>
      <c r="S37" s="25" t="s">
        <v>56</v>
      </c>
      <c r="T37" s="25" t="s">
        <v>43</v>
      </c>
      <c r="U37" s="25" t="s">
        <v>43</v>
      </c>
      <c r="V37" s="25" t="s">
        <v>43</v>
      </c>
      <c r="W37" s="25" t="s">
        <v>43</v>
      </c>
      <c r="X37" s="25" t="s">
        <v>43</v>
      </c>
      <c r="Y37" s="25" t="s">
        <v>43</v>
      </c>
      <c r="Z37" s="25" t="s">
        <v>43</v>
      </c>
      <c r="AA37" s="25" t="s">
        <v>43</v>
      </c>
      <c r="AB37" s="25" t="s">
        <v>43</v>
      </c>
      <c r="AC37" s="25" t="s">
        <v>43</v>
      </c>
      <c r="AD37" s="25" t="s">
        <v>43</v>
      </c>
      <c r="AE37" s="25" t="s">
        <v>43</v>
      </c>
      <c r="AF37" s="25" t="s">
        <v>43</v>
      </c>
      <c r="AG37" s="25" t="s">
        <v>43</v>
      </c>
      <c r="AH37" s="25" t="s">
        <v>43</v>
      </c>
      <c r="AI37" s="25" t="s">
        <v>43</v>
      </c>
      <c r="AJ37" s="25" t="s">
        <v>43</v>
      </c>
      <c r="AK37" s="25" t="s">
        <v>43</v>
      </c>
      <c r="AL37" s="25" t="s">
        <v>43</v>
      </c>
      <c r="AM37" s="25" t="s">
        <v>43</v>
      </c>
      <c r="AN37" s="25" t="s">
        <v>43</v>
      </c>
      <c r="AO37" s="25" t="s">
        <v>43</v>
      </c>
      <c r="AP37" s="25" t="s">
        <v>43</v>
      </c>
      <c r="AQ37" s="25" t="s">
        <v>43</v>
      </c>
      <c r="AR37" s="25" t="s">
        <v>43</v>
      </c>
      <c r="AS37" s="25" t="s">
        <v>43</v>
      </c>
      <c r="AT37" s="25" t="s">
        <v>43</v>
      </c>
      <c r="AU37" s="25" t="s">
        <v>43</v>
      </c>
      <c r="AV37" s="25" t="s">
        <v>43</v>
      </c>
      <c r="AW37" s="25" t="s">
        <v>43</v>
      </c>
      <c r="AX37" s="25" t="s">
        <v>43</v>
      </c>
      <c r="AY37" s="25" t="s">
        <v>43</v>
      </c>
      <c r="AZ37" s="25" t="s">
        <v>43</v>
      </c>
      <c r="BA37" s="25" t="s">
        <v>43</v>
      </c>
      <c r="BB37" s="25" t="s">
        <v>43</v>
      </c>
      <c r="BC37" s="25" t="s">
        <v>43</v>
      </c>
      <c r="BD37" s="25" t="s">
        <v>56</v>
      </c>
      <c r="BE37" s="25" t="s">
        <v>56</v>
      </c>
      <c r="BF37" s="25" t="s">
        <v>56</v>
      </c>
      <c r="BG37" s="25" t="s">
        <v>56</v>
      </c>
      <c r="BH37" s="25" t="s">
        <v>56</v>
      </c>
      <c r="BI37" s="25" t="s">
        <v>56</v>
      </c>
      <c r="BJ37" s="25" t="s">
        <v>56</v>
      </c>
      <c r="BK37" s="25" t="s">
        <v>56</v>
      </c>
      <c r="BL37" s="25" t="s">
        <v>56</v>
      </c>
      <c r="BM37" s="25" t="s">
        <v>56</v>
      </c>
      <c r="BN37" s="25" t="s">
        <v>56</v>
      </c>
      <c r="BO37" s="25" t="s">
        <v>56</v>
      </c>
      <c r="BP37" s="25" t="s">
        <v>56</v>
      </c>
      <c r="BQ37" s="25" t="s">
        <v>56</v>
      </c>
      <c r="BR37" s="25" t="s">
        <v>56</v>
      </c>
      <c r="BS37" s="25" t="s">
        <v>56</v>
      </c>
      <c r="BT37" s="25" t="s">
        <v>56</v>
      </c>
      <c r="BU37" s="25" t="s">
        <v>56</v>
      </c>
      <c r="BV37" s="25" t="s">
        <v>56</v>
      </c>
      <c r="BW37" s="25" t="s">
        <v>56</v>
      </c>
      <c r="BX37" s="25" t="s">
        <v>56</v>
      </c>
      <c r="BY37" s="25" t="s">
        <v>56</v>
      </c>
      <c r="BZ37" s="25" t="s">
        <v>56</v>
      </c>
      <c r="CA37" s="25" t="s">
        <v>56</v>
      </c>
      <c r="CB37" s="25" t="s">
        <v>56</v>
      </c>
      <c r="CC37" s="25" t="s">
        <v>56</v>
      </c>
      <c r="CD37" s="25" t="s">
        <v>56</v>
      </c>
      <c r="CE37" s="25" t="s">
        <v>56</v>
      </c>
      <c r="CF37" s="25" t="s">
        <v>56</v>
      </c>
      <c r="CG37" s="25" t="s">
        <v>56</v>
      </c>
      <c r="CH37" s="25" t="s">
        <v>56</v>
      </c>
      <c r="CI37" s="25" t="s">
        <v>56</v>
      </c>
      <c r="CJ37" s="25" t="s">
        <v>56</v>
      </c>
      <c r="CK37" s="25" t="s">
        <v>56</v>
      </c>
      <c r="CL37" s="25" t="s">
        <v>56</v>
      </c>
      <c r="CM37" s="25" t="s">
        <v>56</v>
      </c>
      <c r="CN37" s="25" t="s">
        <v>56</v>
      </c>
      <c r="CO37" s="25" t="s">
        <v>56</v>
      </c>
      <c r="CP37" s="25" t="s">
        <v>56</v>
      </c>
      <c r="CQ37" s="25" t="s">
        <v>56</v>
      </c>
      <c r="CR37" s="25" t="s">
        <v>56</v>
      </c>
      <c r="CS37" s="25" t="s">
        <v>56</v>
      </c>
      <c r="CT37" s="25" t="s">
        <v>56</v>
      </c>
      <c r="CU37" s="25" t="s">
        <v>56</v>
      </c>
      <c r="CV37" s="25" t="s">
        <v>56</v>
      </c>
      <c r="CW37" s="25" t="s">
        <v>56</v>
      </c>
      <c r="CX37" s="25" t="s">
        <v>56</v>
      </c>
      <c r="CY37" s="25" t="s">
        <v>56</v>
      </c>
      <c r="CZ37" s="25" t="s">
        <v>56</v>
      </c>
      <c r="DA37" s="25" t="s">
        <v>56</v>
      </c>
      <c r="DB37" s="25" t="s">
        <v>56</v>
      </c>
      <c r="DC37" s="25" t="s">
        <v>56</v>
      </c>
      <c r="DD37" s="25" t="s">
        <v>56</v>
      </c>
      <c r="DE37" s="25" t="s">
        <v>56</v>
      </c>
      <c r="DF37" s="25" t="s">
        <v>56</v>
      </c>
      <c r="DG37" s="25" t="s">
        <v>56</v>
      </c>
      <c r="DH37" s="25" t="s">
        <v>56</v>
      </c>
      <c r="DI37" s="25" t="s">
        <v>56</v>
      </c>
      <c r="DJ37" s="25" t="s">
        <v>56</v>
      </c>
      <c r="DK37" s="25" t="s">
        <v>56</v>
      </c>
      <c r="DL37" s="25" t="s">
        <v>56</v>
      </c>
      <c r="DM37" s="25" t="s">
        <v>56</v>
      </c>
      <c r="DN37" s="25" t="s">
        <v>56</v>
      </c>
      <c r="DO37" s="25" t="s">
        <v>56</v>
      </c>
      <c r="DP37" s="25" t="s">
        <v>56</v>
      </c>
      <c r="DQ37" s="25" t="s">
        <v>56</v>
      </c>
      <c r="DR37" s="25" t="s">
        <v>56</v>
      </c>
      <c r="DS37" s="25" t="s">
        <v>56</v>
      </c>
      <c r="DT37" s="25" t="s">
        <v>56</v>
      </c>
      <c r="DU37" s="25" t="s">
        <v>56</v>
      </c>
      <c r="DV37" s="25" t="s">
        <v>56</v>
      </c>
      <c r="DW37" s="25" t="s">
        <v>56</v>
      </c>
    </row>
    <row r="38" spans="1:130" s="25" customFormat="1" ht="24.6" customHeight="1">
      <c r="A38" s="65">
        <v>35</v>
      </c>
      <c r="B38" s="25" t="s">
        <v>201</v>
      </c>
      <c r="C38" s="45">
        <v>695752643</v>
      </c>
      <c r="D38" s="25" t="s">
        <v>55</v>
      </c>
      <c r="E38" s="70"/>
      <c r="F38" s="70"/>
      <c r="G38" s="25">
        <v>1</v>
      </c>
      <c r="H38" s="25" t="s">
        <v>202</v>
      </c>
      <c r="I38" s="25" t="s">
        <v>56</v>
      </c>
      <c r="J38" s="26">
        <v>100000</v>
      </c>
      <c r="K38" s="25" t="s">
        <v>74</v>
      </c>
      <c r="L38" s="25" t="s">
        <v>199</v>
      </c>
      <c r="M38" s="25">
        <v>2</v>
      </c>
      <c r="N38" s="25" t="s">
        <v>56</v>
      </c>
      <c r="O38" s="25" t="s">
        <v>56</v>
      </c>
      <c r="P38" s="25" t="s">
        <v>56</v>
      </c>
      <c r="Q38" s="25" t="s">
        <v>43</v>
      </c>
      <c r="R38" s="25" t="s">
        <v>56</v>
      </c>
      <c r="S38" s="25" t="s">
        <v>56</v>
      </c>
      <c r="T38" s="25" t="s">
        <v>43</v>
      </c>
      <c r="U38" s="25" t="s">
        <v>43</v>
      </c>
      <c r="V38" s="25" t="s">
        <v>43</v>
      </c>
      <c r="W38" s="25" t="s">
        <v>43</v>
      </c>
      <c r="X38" s="25" t="s">
        <v>43</v>
      </c>
      <c r="Y38" s="25" t="s">
        <v>43</v>
      </c>
      <c r="Z38" s="25" t="s">
        <v>43</v>
      </c>
      <c r="AA38" s="25" t="s">
        <v>43</v>
      </c>
      <c r="AB38" s="25" t="s">
        <v>43</v>
      </c>
      <c r="AC38" s="25" t="s">
        <v>43</v>
      </c>
      <c r="AD38" s="25" t="s">
        <v>43</v>
      </c>
      <c r="AE38" s="25" t="s">
        <v>43</v>
      </c>
      <c r="AF38" s="25" t="s">
        <v>43</v>
      </c>
      <c r="AG38" s="25" t="s">
        <v>43</v>
      </c>
      <c r="AH38" s="25" t="s">
        <v>43</v>
      </c>
      <c r="AI38" s="25" t="s">
        <v>43</v>
      </c>
      <c r="AJ38" s="25" t="s">
        <v>43</v>
      </c>
      <c r="AK38" s="25" t="s">
        <v>43</v>
      </c>
      <c r="AL38" s="25" t="s">
        <v>43</v>
      </c>
      <c r="AM38" s="25" t="s">
        <v>43</v>
      </c>
      <c r="AN38" s="25" t="s">
        <v>43</v>
      </c>
      <c r="AO38" s="25" t="s">
        <v>43</v>
      </c>
      <c r="AP38" s="25" t="s">
        <v>43</v>
      </c>
      <c r="AQ38" s="25" t="s">
        <v>43</v>
      </c>
      <c r="AR38" s="25" t="s">
        <v>43</v>
      </c>
      <c r="AS38" s="25" t="s">
        <v>43</v>
      </c>
      <c r="AT38" s="25" t="s">
        <v>43</v>
      </c>
      <c r="AU38" s="25" t="s">
        <v>43</v>
      </c>
      <c r="AV38" s="25" t="s">
        <v>43</v>
      </c>
      <c r="AW38" s="25" t="s">
        <v>43</v>
      </c>
      <c r="AX38" s="25" t="s">
        <v>43</v>
      </c>
      <c r="AY38" s="25" t="s">
        <v>43</v>
      </c>
      <c r="AZ38" s="25" t="s">
        <v>43</v>
      </c>
      <c r="BA38" s="25" t="s">
        <v>43</v>
      </c>
      <c r="BB38" s="25" t="s">
        <v>43</v>
      </c>
      <c r="BC38" s="25" t="s">
        <v>43</v>
      </c>
      <c r="BD38" s="25" t="s">
        <v>56</v>
      </c>
      <c r="BE38" s="25" t="s">
        <v>56</v>
      </c>
      <c r="BF38" s="25" t="s">
        <v>56</v>
      </c>
      <c r="BG38" s="25" t="s">
        <v>56</v>
      </c>
      <c r="BH38" s="25" t="s">
        <v>56</v>
      </c>
      <c r="BI38" s="25" t="s">
        <v>56</v>
      </c>
      <c r="BJ38" s="25" t="s">
        <v>56</v>
      </c>
      <c r="BK38" s="25" t="s">
        <v>56</v>
      </c>
      <c r="BL38" s="25" t="s">
        <v>56</v>
      </c>
      <c r="BM38" s="25" t="s">
        <v>56</v>
      </c>
      <c r="BN38" s="25" t="s">
        <v>56</v>
      </c>
      <c r="BO38" s="25" t="s">
        <v>56</v>
      </c>
      <c r="BP38" s="25" t="s">
        <v>56</v>
      </c>
      <c r="BQ38" s="25" t="s">
        <v>56</v>
      </c>
      <c r="BR38" s="25" t="s">
        <v>56</v>
      </c>
      <c r="BS38" s="25" t="s">
        <v>56</v>
      </c>
      <c r="BT38" s="25" t="s">
        <v>56</v>
      </c>
      <c r="BU38" s="25" t="s">
        <v>56</v>
      </c>
      <c r="BV38" s="25" t="s">
        <v>56</v>
      </c>
      <c r="BW38" s="25" t="s">
        <v>56</v>
      </c>
      <c r="BX38" s="25" t="s">
        <v>56</v>
      </c>
      <c r="BY38" s="25" t="s">
        <v>56</v>
      </c>
      <c r="BZ38" s="25" t="s">
        <v>56</v>
      </c>
      <c r="CA38" s="25" t="s">
        <v>56</v>
      </c>
      <c r="CB38" s="25" t="s">
        <v>56</v>
      </c>
      <c r="CC38" s="25" t="s">
        <v>56</v>
      </c>
      <c r="CD38" s="25" t="s">
        <v>56</v>
      </c>
      <c r="CE38" s="25" t="s">
        <v>56</v>
      </c>
      <c r="CF38" s="25" t="s">
        <v>56</v>
      </c>
      <c r="CG38" s="25" t="s">
        <v>56</v>
      </c>
      <c r="CH38" s="25" t="s">
        <v>56</v>
      </c>
      <c r="CI38" s="25" t="s">
        <v>56</v>
      </c>
      <c r="CJ38" s="25" t="s">
        <v>56</v>
      </c>
      <c r="CK38" s="25" t="s">
        <v>56</v>
      </c>
      <c r="CL38" s="25" t="s">
        <v>56</v>
      </c>
      <c r="CM38" s="25" t="s">
        <v>56</v>
      </c>
      <c r="CN38" s="25" t="s">
        <v>56</v>
      </c>
      <c r="CO38" s="25" t="s">
        <v>56</v>
      </c>
      <c r="CP38" s="25" t="s">
        <v>56</v>
      </c>
      <c r="CQ38" s="25" t="s">
        <v>56</v>
      </c>
      <c r="CR38" s="25" t="s">
        <v>56</v>
      </c>
      <c r="CS38" s="25" t="s">
        <v>56</v>
      </c>
      <c r="CT38" s="25" t="s">
        <v>56</v>
      </c>
      <c r="CU38" s="25" t="s">
        <v>56</v>
      </c>
      <c r="CV38" s="25" t="s">
        <v>56</v>
      </c>
      <c r="CW38" s="25" t="s">
        <v>56</v>
      </c>
      <c r="CX38" s="25" t="s">
        <v>56</v>
      </c>
      <c r="CY38" s="25" t="s">
        <v>56</v>
      </c>
      <c r="CZ38" s="25" t="s">
        <v>56</v>
      </c>
      <c r="DA38" s="25" t="s">
        <v>56</v>
      </c>
      <c r="DB38" s="25" t="s">
        <v>56</v>
      </c>
      <c r="DC38" s="25" t="s">
        <v>56</v>
      </c>
      <c r="DD38" s="25" t="s">
        <v>56</v>
      </c>
      <c r="DE38" s="25" t="s">
        <v>56</v>
      </c>
      <c r="DF38" s="25" t="s">
        <v>56</v>
      </c>
      <c r="DG38" s="25" t="s">
        <v>56</v>
      </c>
      <c r="DH38" s="25" t="s">
        <v>56</v>
      </c>
      <c r="DI38" s="25" t="s">
        <v>56</v>
      </c>
      <c r="DJ38" s="25" t="s">
        <v>56</v>
      </c>
      <c r="DK38" s="25" t="s">
        <v>56</v>
      </c>
      <c r="DL38" s="25" t="s">
        <v>56</v>
      </c>
      <c r="DM38" s="25" t="s">
        <v>56</v>
      </c>
      <c r="DN38" s="25" t="s">
        <v>56</v>
      </c>
      <c r="DO38" s="25" t="s">
        <v>56</v>
      </c>
      <c r="DP38" s="25" t="s">
        <v>56</v>
      </c>
      <c r="DQ38" s="25" t="s">
        <v>56</v>
      </c>
      <c r="DR38" s="25" t="s">
        <v>56</v>
      </c>
      <c r="DS38" s="25" t="s">
        <v>56</v>
      </c>
      <c r="DT38" s="25" t="s">
        <v>56</v>
      </c>
      <c r="DU38" s="25" t="s">
        <v>56</v>
      </c>
      <c r="DV38" s="25" t="s">
        <v>56</v>
      </c>
      <c r="DW38" s="25" t="s">
        <v>56</v>
      </c>
    </row>
    <row r="39" spans="1:130" s="25" customFormat="1" ht="24.6" customHeight="1">
      <c r="A39" s="65">
        <v>36</v>
      </c>
      <c r="B39" s="25" t="s">
        <v>205</v>
      </c>
      <c r="C39" s="45">
        <v>67038821</v>
      </c>
      <c r="D39" s="25" t="s">
        <v>203</v>
      </c>
      <c r="E39" s="70"/>
      <c r="F39" s="70"/>
      <c r="G39" s="25">
        <v>4</v>
      </c>
      <c r="H39" s="25" t="s">
        <v>206</v>
      </c>
      <c r="I39" s="25" t="s">
        <v>56</v>
      </c>
      <c r="J39" s="26">
        <v>3000000</v>
      </c>
      <c r="K39" s="25" t="s">
        <v>101</v>
      </c>
      <c r="L39" s="25" t="s">
        <v>204</v>
      </c>
      <c r="M39" s="25">
        <v>6</v>
      </c>
      <c r="N39" s="25" t="s">
        <v>43</v>
      </c>
      <c r="O39" s="25" t="s">
        <v>56</v>
      </c>
      <c r="P39" s="25" t="s">
        <v>56</v>
      </c>
      <c r="Q39" s="25" t="s">
        <v>56</v>
      </c>
      <c r="R39" s="25" t="s">
        <v>56</v>
      </c>
      <c r="S39" s="25" t="s">
        <v>56</v>
      </c>
      <c r="T39" s="25" t="s">
        <v>56</v>
      </c>
      <c r="U39" s="25" t="s">
        <v>56</v>
      </c>
      <c r="V39" s="25" t="s">
        <v>56</v>
      </c>
      <c r="W39" s="25" t="s">
        <v>56</v>
      </c>
      <c r="X39" s="25" t="s">
        <v>56</v>
      </c>
      <c r="Y39" s="25" t="s">
        <v>56</v>
      </c>
      <c r="Z39" s="25" t="s">
        <v>56</v>
      </c>
      <c r="AA39" s="25" t="s">
        <v>56</v>
      </c>
      <c r="AB39" s="25" t="s">
        <v>56</v>
      </c>
      <c r="AC39" s="25" t="s">
        <v>56</v>
      </c>
      <c r="AD39" s="25" t="s">
        <v>56</v>
      </c>
      <c r="AE39" s="25" t="s">
        <v>56</v>
      </c>
      <c r="AF39" s="25" t="s">
        <v>56</v>
      </c>
      <c r="AG39" s="25" t="s">
        <v>56</v>
      </c>
      <c r="AH39" s="25" t="s">
        <v>56</v>
      </c>
      <c r="AI39" s="25" t="s">
        <v>56</v>
      </c>
      <c r="AJ39" s="25" t="s">
        <v>56</v>
      </c>
      <c r="AK39" s="25" t="s">
        <v>56</v>
      </c>
      <c r="AL39" s="25" t="s">
        <v>56</v>
      </c>
      <c r="AM39" s="25" t="s">
        <v>56</v>
      </c>
      <c r="AN39" s="25" t="s">
        <v>56</v>
      </c>
      <c r="AO39" s="25" t="s">
        <v>56</v>
      </c>
      <c r="AP39" s="25" t="s">
        <v>56</v>
      </c>
      <c r="AQ39" s="25" t="s">
        <v>56</v>
      </c>
      <c r="AR39" s="25" t="s">
        <v>56</v>
      </c>
      <c r="AS39" s="25" t="s">
        <v>56</v>
      </c>
      <c r="AT39" s="25" t="s">
        <v>56</v>
      </c>
      <c r="AU39" s="25" t="s">
        <v>56</v>
      </c>
      <c r="AV39" s="25" t="s">
        <v>56</v>
      </c>
      <c r="AW39" s="25" t="s">
        <v>56</v>
      </c>
      <c r="AX39" s="25" t="s">
        <v>56</v>
      </c>
      <c r="AY39" s="25" t="s">
        <v>56</v>
      </c>
      <c r="AZ39" s="25" t="s">
        <v>56</v>
      </c>
      <c r="BA39" s="25" t="s">
        <v>56</v>
      </c>
      <c r="BB39" s="25" t="s">
        <v>56</v>
      </c>
      <c r="BC39" s="25" t="s">
        <v>56</v>
      </c>
      <c r="BD39" s="25" t="s">
        <v>56</v>
      </c>
      <c r="BE39" s="25" t="s">
        <v>56</v>
      </c>
      <c r="BF39" s="25" t="s">
        <v>56</v>
      </c>
      <c r="BG39" s="25" t="s">
        <v>56</v>
      </c>
      <c r="BH39" s="25" t="s">
        <v>56</v>
      </c>
      <c r="BI39" s="25" t="s">
        <v>56</v>
      </c>
      <c r="BJ39" s="25" t="s">
        <v>56</v>
      </c>
      <c r="BK39" s="25" t="s">
        <v>56</v>
      </c>
      <c r="BL39" s="25" t="s">
        <v>56</v>
      </c>
      <c r="BM39" s="25" t="s">
        <v>56</v>
      </c>
      <c r="BN39" s="25" t="s">
        <v>56</v>
      </c>
      <c r="BO39" s="25" t="s">
        <v>56</v>
      </c>
      <c r="BP39" s="25" t="s">
        <v>56</v>
      </c>
      <c r="BQ39" s="25" t="s">
        <v>56</v>
      </c>
      <c r="BR39" s="25" t="s">
        <v>56</v>
      </c>
      <c r="BS39" s="25" t="s">
        <v>56</v>
      </c>
      <c r="BT39" s="25" t="s">
        <v>56</v>
      </c>
      <c r="BU39" s="25" t="s">
        <v>56</v>
      </c>
      <c r="BV39" s="25" t="s">
        <v>56</v>
      </c>
      <c r="BW39" s="25" t="s">
        <v>56</v>
      </c>
      <c r="BX39" s="25" t="s">
        <v>56</v>
      </c>
      <c r="BY39" s="25" t="s">
        <v>56</v>
      </c>
      <c r="BZ39" s="25" t="s">
        <v>56</v>
      </c>
      <c r="CA39" s="25" t="s">
        <v>56</v>
      </c>
      <c r="CB39" s="25" t="s">
        <v>56</v>
      </c>
      <c r="CC39" s="25" t="s">
        <v>56</v>
      </c>
      <c r="CD39" s="25" t="s">
        <v>56</v>
      </c>
      <c r="CE39" s="25" t="s">
        <v>56</v>
      </c>
      <c r="CF39" s="25" t="s">
        <v>56</v>
      </c>
      <c r="CG39" s="25" t="s">
        <v>56</v>
      </c>
      <c r="CH39" s="25" t="s">
        <v>56</v>
      </c>
      <c r="CI39" s="25" t="s">
        <v>56</v>
      </c>
      <c r="CJ39" s="25" t="s">
        <v>56</v>
      </c>
      <c r="CK39" s="25" t="s">
        <v>56</v>
      </c>
      <c r="CL39" s="25" t="s">
        <v>56</v>
      </c>
      <c r="CM39" s="25" t="s">
        <v>56</v>
      </c>
      <c r="CN39" s="25" t="s">
        <v>56</v>
      </c>
      <c r="CO39" s="25" t="s">
        <v>56</v>
      </c>
      <c r="CP39" s="25" t="s">
        <v>56</v>
      </c>
      <c r="CQ39" s="25" t="s">
        <v>56</v>
      </c>
      <c r="CR39" s="25" t="s">
        <v>56</v>
      </c>
      <c r="CS39" s="25" t="s">
        <v>56</v>
      </c>
      <c r="CT39" s="51" t="s">
        <v>43</v>
      </c>
      <c r="CU39" s="51" t="s">
        <v>43</v>
      </c>
      <c r="CV39" s="51" t="s">
        <v>43</v>
      </c>
      <c r="CW39" s="51" t="s">
        <v>43</v>
      </c>
      <c r="CX39" s="51" t="s">
        <v>43</v>
      </c>
      <c r="CY39" s="51" t="s">
        <v>43</v>
      </c>
      <c r="CZ39" s="51" t="s">
        <v>43</v>
      </c>
      <c r="DA39" s="51" t="s">
        <v>43</v>
      </c>
      <c r="DB39" s="51" t="s">
        <v>43</v>
      </c>
      <c r="DC39" s="51" t="s">
        <v>43</v>
      </c>
      <c r="DD39" s="51" t="s">
        <v>43</v>
      </c>
      <c r="DE39" s="51" t="s">
        <v>43</v>
      </c>
      <c r="DF39" s="51" t="s">
        <v>43</v>
      </c>
      <c r="DG39" s="51" t="s">
        <v>43</v>
      </c>
      <c r="DH39" s="51" t="s">
        <v>43</v>
      </c>
      <c r="DI39" s="51" t="s">
        <v>43</v>
      </c>
      <c r="DJ39" s="51" t="s">
        <v>43</v>
      </c>
      <c r="DK39" s="51" t="s">
        <v>43</v>
      </c>
      <c r="DL39" s="51" t="s">
        <v>43</v>
      </c>
      <c r="DM39" s="51" t="s">
        <v>43</v>
      </c>
      <c r="DN39" s="51" t="s">
        <v>43</v>
      </c>
      <c r="DO39" s="51" t="s">
        <v>43</v>
      </c>
      <c r="DP39" s="51" t="s">
        <v>43</v>
      </c>
      <c r="DQ39" s="51" t="s">
        <v>43</v>
      </c>
      <c r="DR39" s="51" t="s">
        <v>43</v>
      </c>
      <c r="DS39" s="51" t="s">
        <v>43</v>
      </c>
      <c r="DT39" s="51" t="s">
        <v>43</v>
      </c>
      <c r="DU39" s="51" t="s">
        <v>43</v>
      </c>
      <c r="DV39" s="51" t="s">
        <v>43</v>
      </c>
      <c r="DW39" s="51" t="s">
        <v>43</v>
      </c>
    </row>
    <row r="40" spans="1:130" s="25" customFormat="1" ht="24.6" customHeight="1">
      <c r="A40" s="65">
        <v>37</v>
      </c>
      <c r="B40" s="25" t="s">
        <v>207</v>
      </c>
      <c r="C40" s="45"/>
      <c r="D40" s="25" t="s">
        <v>208</v>
      </c>
      <c r="E40" s="70"/>
      <c r="F40" s="70"/>
      <c r="G40" s="25">
        <v>3</v>
      </c>
      <c r="H40" s="25" t="s">
        <v>209</v>
      </c>
      <c r="I40" s="25" t="s">
        <v>56</v>
      </c>
      <c r="J40" s="26">
        <v>35000000</v>
      </c>
      <c r="K40" s="25" t="s">
        <v>101</v>
      </c>
      <c r="L40" s="25" t="s">
        <v>204</v>
      </c>
      <c r="M40" s="25">
        <v>6</v>
      </c>
      <c r="N40" s="25" t="s">
        <v>43</v>
      </c>
      <c r="O40" s="25" t="s">
        <v>43</v>
      </c>
      <c r="P40" s="25" t="s">
        <v>56</v>
      </c>
      <c r="Q40" s="25" t="s">
        <v>56</v>
      </c>
      <c r="R40" s="25" t="s">
        <v>43</v>
      </c>
      <c r="S40" s="25" t="s">
        <v>56</v>
      </c>
      <c r="T40" s="25" t="s">
        <v>56</v>
      </c>
      <c r="U40" s="25" t="s">
        <v>56</v>
      </c>
      <c r="V40" s="25" t="s">
        <v>56</v>
      </c>
      <c r="W40" s="25" t="s">
        <v>56</v>
      </c>
      <c r="X40" s="25" t="s">
        <v>56</v>
      </c>
      <c r="Y40" s="25" t="s">
        <v>56</v>
      </c>
      <c r="Z40" s="25" t="s">
        <v>56</v>
      </c>
      <c r="AA40" s="25" t="s">
        <v>56</v>
      </c>
      <c r="AB40" s="25" t="s">
        <v>56</v>
      </c>
      <c r="AC40" s="25" t="s">
        <v>56</v>
      </c>
      <c r="AD40" s="25" t="s">
        <v>56</v>
      </c>
      <c r="AE40" s="25" t="s">
        <v>56</v>
      </c>
      <c r="AF40" s="25" t="s">
        <v>56</v>
      </c>
      <c r="AG40" s="25" t="s">
        <v>56</v>
      </c>
      <c r="AH40" s="25" t="s">
        <v>56</v>
      </c>
      <c r="AI40" s="25" t="s">
        <v>56</v>
      </c>
      <c r="AJ40" s="25" t="s">
        <v>56</v>
      </c>
      <c r="AK40" s="25" t="s">
        <v>56</v>
      </c>
      <c r="AL40" s="25" t="s">
        <v>56</v>
      </c>
      <c r="AM40" s="25" t="s">
        <v>56</v>
      </c>
      <c r="AN40" s="25" t="s">
        <v>56</v>
      </c>
      <c r="AO40" s="25" t="s">
        <v>56</v>
      </c>
      <c r="AP40" s="25" t="s">
        <v>56</v>
      </c>
      <c r="AQ40" s="25" t="s">
        <v>56</v>
      </c>
      <c r="AR40" s="25" t="s">
        <v>56</v>
      </c>
      <c r="AS40" s="25" t="s">
        <v>56</v>
      </c>
      <c r="AT40" s="25" t="s">
        <v>56</v>
      </c>
      <c r="AU40" s="25" t="s">
        <v>56</v>
      </c>
      <c r="AV40" s="25" t="s">
        <v>56</v>
      </c>
      <c r="AW40" s="25" t="s">
        <v>56</v>
      </c>
      <c r="AX40" s="25" t="s">
        <v>56</v>
      </c>
      <c r="AY40" s="25" t="s">
        <v>56</v>
      </c>
      <c r="AZ40" s="25" t="s">
        <v>56</v>
      </c>
      <c r="BA40" s="25" t="s">
        <v>56</v>
      </c>
      <c r="BB40" s="25" t="s">
        <v>56</v>
      </c>
      <c r="BC40" s="25" t="s">
        <v>56</v>
      </c>
      <c r="BD40" s="25" t="s">
        <v>56</v>
      </c>
      <c r="BE40" s="25" t="s">
        <v>56</v>
      </c>
      <c r="BF40" s="25" t="s">
        <v>56</v>
      </c>
      <c r="BG40" s="25" t="s">
        <v>56</v>
      </c>
      <c r="BH40" s="25" t="s">
        <v>56</v>
      </c>
      <c r="BI40" s="25" t="s">
        <v>56</v>
      </c>
      <c r="BJ40" s="25" t="s">
        <v>56</v>
      </c>
      <c r="BK40" s="25" t="s">
        <v>56</v>
      </c>
      <c r="BL40" s="25" t="s">
        <v>56</v>
      </c>
      <c r="BM40" s="25" t="s">
        <v>56</v>
      </c>
      <c r="BN40" s="25" t="s">
        <v>56</v>
      </c>
      <c r="BO40" s="25" t="s">
        <v>56</v>
      </c>
      <c r="BP40" s="25" t="s">
        <v>56</v>
      </c>
      <c r="BQ40" s="25" t="s">
        <v>56</v>
      </c>
      <c r="BR40" s="25" t="s">
        <v>56</v>
      </c>
      <c r="BS40" s="25" t="s">
        <v>56</v>
      </c>
      <c r="BT40" s="25" t="s">
        <v>56</v>
      </c>
      <c r="BU40" s="25" t="s">
        <v>56</v>
      </c>
      <c r="BV40" s="12" t="s">
        <v>43</v>
      </c>
      <c r="BW40" s="12" t="s">
        <v>43</v>
      </c>
      <c r="BX40" s="12" t="s">
        <v>43</v>
      </c>
      <c r="BY40" s="12" t="s">
        <v>43</v>
      </c>
      <c r="BZ40" s="12" t="s">
        <v>43</v>
      </c>
      <c r="CA40" s="25" t="s">
        <v>56</v>
      </c>
      <c r="CB40" s="25" t="s">
        <v>56</v>
      </c>
      <c r="CC40" s="12" t="s">
        <v>43</v>
      </c>
      <c r="CD40" s="12" t="s">
        <v>43</v>
      </c>
      <c r="CE40" s="12" t="s">
        <v>43</v>
      </c>
      <c r="CF40" s="12" t="s">
        <v>43</v>
      </c>
      <c r="CG40" s="12" t="s">
        <v>43</v>
      </c>
      <c r="CH40" s="12" t="s">
        <v>43</v>
      </c>
      <c r="CI40" s="12" t="s">
        <v>43</v>
      </c>
      <c r="CJ40" s="12" t="s">
        <v>43</v>
      </c>
      <c r="CK40" s="12" t="s">
        <v>43</v>
      </c>
      <c r="CL40" s="12" t="s">
        <v>43</v>
      </c>
      <c r="CM40" s="12" t="s">
        <v>43</v>
      </c>
      <c r="CN40" s="25" t="s">
        <v>43</v>
      </c>
      <c r="CO40" s="25" t="s">
        <v>43</v>
      </c>
      <c r="CP40" s="25" t="s">
        <v>43</v>
      </c>
      <c r="CQ40" s="25" t="s">
        <v>43</v>
      </c>
      <c r="CR40" s="25" t="s">
        <v>56</v>
      </c>
      <c r="CS40" s="25" t="s">
        <v>56</v>
      </c>
      <c r="CT40" s="25" t="s">
        <v>43</v>
      </c>
      <c r="CU40" s="25" t="s">
        <v>43</v>
      </c>
      <c r="CV40" s="25" t="s">
        <v>43</v>
      </c>
      <c r="CW40" s="25" t="s">
        <v>43</v>
      </c>
      <c r="CX40" s="25" t="s">
        <v>43</v>
      </c>
      <c r="CY40" s="25" t="s">
        <v>43</v>
      </c>
      <c r="CZ40" s="25" t="s">
        <v>43</v>
      </c>
      <c r="DA40" s="25" t="s">
        <v>43</v>
      </c>
      <c r="DB40" s="25" t="s">
        <v>43</v>
      </c>
      <c r="DC40" s="25" t="s">
        <v>43</v>
      </c>
      <c r="DD40" s="25" t="s">
        <v>43</v>
      </c>
      <c r="DE40" s="25" t="s">
        <v>43</v>
      </c>
      <c r="DF40" s="25" t="s">
        <v>43</v>
      </c>
      <c r="DG40" s="25" t="s">
        <v>43</v>
      </c>
      <c r="DH40" s="25" t="s">
        <v>43</v>
      </c>
      <c r="DI40" s="25" t="s">
        <v>43</v>
      </c>
      <c r="DJ40" s="25" t="s">
        <v>43</v>
      </c>
      <c r="DK40" s="25" t="s">
        <v>43</v>
      </c>
      <c r="DL40" s="25" t="s">
        <v>43</v>
      </c>
      <c r="DM40" s="25" t="s">
        <v>43</v>
      </c>
      <c r="DN40" s="25" t="s">
        <v>43</v>
      </c>
      <c r="DO40" s="25" t="s">
        <v>43</v>
      </c>
      <c r="DP40" s="25" t="s">
        <v>43</v>
      </c>
      <c r="DQ40" s="25" t="s">
        <v>43</v>
      </c>
      <c r="DR40" s="25" t="s">
        <v>43</v>
      </c>
      <c r="DS40" s="25" t="s">
        <v>43</v>
      </c>
      <c r="DT40" s="25" t="s">
        <v>43</v>
      </c>
      <c r="DU40" s="25" t="s">
        <v>43</v>
      </c>
      <c r="DV40" s="25" t="s">
        <v>43</v>
      </c>
      <c r="DW40" s="25" t="s">
        <v>43</v>
      </c>
    </row>
    <row r="41" spans="1:130" s="25" customFormat="1" ht="24.6" customHeight="1">
      <c r="A41" s="65">
        <v>38</v>
      </c>
      <c r="B41" s="25" t="s">
        <v>212</v>
      </c>
      <c r="C41" s="45" t="s">
        <v>210</v>
      </c>
      <c r="D41" s="25" t="s">
        <v>72</v>
      </c>
      <c r="E41" s="70"/>
      <c r="F41" s="70"/>
      <c r="G41" s="25">
        <v>80</v>
      </c>
      <c r="H41" s="25" t="s">
        <v>213</v>
      </c>
      <c r="I41" s="25" t="s">
        <v>56</v>
      </c>
      <c r="J41" s="26">
        <v>30000000</v>
      </c>
      <c r="K41" s="25" t="s">
        <v>153</v>
      </c>
      <c r="L41" s="25" t="s">
        <v>211</v>
      </c>
      <c r="M41" s="25">
        <v>20</v>
      </c>
      <c r="N41" s="25" t="s">
        <v>43</v>
      </c>
      <c r="O41" s="25" t="s">
        <v>43</v>
      </c>
      <c r="P41" s="25" t="s">
        <v>56</v>
      </c>
      <c r="Q41" s="25" t="s">
        <v>56</v>
      </c>
      <c r="R41" s="25" t="s">
        <v>56</v>
      </c>
      <c r="S41" s="25" t="s">
        <v>56</v>
      </c>
      <c r="T41" s="25" t="s">
        <v>56</v>
      </c>
      <c r="U41" s="25" t="s">
        <v>56</v>
      </c>
      <c r="V41" s="25" t="s">
        <v>56</v>
      </c>
      <c r="W41" s="25" t="s">
        <v>56</v>
      </c>
      <c r="X41" s="25" t="s">
        <v>56</v>
      </c>
      <c r="Y41" s="25" t="s">
        <v>56</v>
      </c>
      <c r="Z41" s="25" t="s">
        <v>56</v>
      </c>
      <c r="AA41" s="25" t="s">
        <v>56</v>
      </c>
      <c r="AB41" s="25" t="s">
        <v>56</v>
      </c>
      <c r="AC41" s="25" t="s">
        <v>56</v>
      </c>
      <c r="AD41" s="25" t="s">
        <v>56</v>
      </c>
      <c r="AE41" s="25" t="s">
        <v>56</v>
      </c>
      <c r="AF41" s="25" t="s">
        <v>56</v>
      </c>
      <c r="AG41" s="25" t="s">
        <v>56</v>
      </c>
      <c r="AH41" s="25" t="s">
        <v>56</v>
      </c>
      <c r="AI41" s="25" t="s">
        <v>56</v>
      </c>
      <c r="AJ41" s="25" t="s">
        <v>56</v>
      </c>
      <c r="AK41" s="25" t="s">
        <v>56</v>
      </c>
      <c r="AL41" s="25" t="s">
        <v>56</v>
      </c>
      <c r="AM41" s="25" t="s">
        <v>56</v>
      </c>
      <c r="AN41" s="25" t="s">
        <v>56</v>
      </c>
      <c r="AO41" s="25" t="s">
        <v>56</v>
      </c>
      <c r="AP41" s="25" t="s">
        <v>56</v>
      </c>
      <c r="AQ41" s="25" t="s">
        <v>56</v>
      </c>
      <c r="AR41" s="25" t="s">
        <v>56</v>
      </c>
      <c r="AS41" s="25" t="s">
        <v>56</v>
      </c>
      <c r="AT41" s="25" t="s">
        <v>56</v>
      </c>
      <c r="AU41" s="25" t="s">
        <v>56</v>
      </c>
      <c r="AV41" s="25" t="s">
        <v>56</v>
      </c>
      <c r="AW41" s="25" t="s">
        <v>56</v>
      </c>
      <c r="AX41" s="25" t="s">
        <v>56</v>
      </c>
      <c r="AY41" s="25" t="s">
        <v>56</v>
      </c>
      <c r="AZ41" s="25" t="s">
        <v>56</v>
      </c>
      <c r="BA41" s="25" t="s">
        <v>56</v>
      </c>
      <c r="BB41" s="25" t="s">
        <v>56</v>
      </c>
      <c r="BC41" s="25" t="s">
        <v>56</v>
      </c>
      <c r="BD41" s="25" t="s">
        <v>56</v>
      </c>
      <c r="BE41" s="25" t="s">
        <v>56</v>
      </c>
      <c r="BF41" s="25" t="s">
        <v>56</v>
      </c>
      <c r="BG41" s="25" t="s">
        <v>56</v>
      </c>
      <c r="BH41" s="25" t="s">
        <v>56</v>
      </c>
      <c r="BI41" s="25" t="s">
        <v>56</v>
      </c>
      <c r="BJ41" s="25" t="s">
        <v>56</v>
      </c>
      <c r="BK41" s="25" t="s">
        <v>56</v>
      </c>
      <c r="BL41" s="25" t="s">
        <v>56</v>
      </c>
      <c r="BM41" s="25" t="s">
        <v>56</v>
      </c>
      <c r="BN41" s="25" t="s">
        <v>56</v>
      </c>
      <c r="BO41" s="25" t="s">
        <v>56</v>
      </c>
      <c r="BP41" s="25" t="s">
        <v>56</v>
      </c>
      <c r="BQ41" s="25" t="s">
        <v>56</v>
      </c>
      <c r="BR41" s="25" t="s">
        <v>56</v>
      </c>
      <c r="BS41" s="25" t="s">
        <v>56</v>
      </c>
      <c r="BT41" s="25" t="s">
        <v>56</v>
      </c>
      <c r="BU41" s="25" t="s">
        <v>56</v>
      </c>
      <c r="BV41" s="25" t="s">
        <v>56</v>
      </c>
      <c r="BW41" s="25" t="s">
        <v>56</v>
      </c>
      <c r="BX41" s="25" t="s">
        <v>56</v>
      </c>
      <c r="BY41" s="25" t="s">
        <v>56</v>
      </c>
      <c r="BZ41" s="25" t="s">
        <v>56</v>
      </c>
      <c r="CA41" s="25" t="s">
        <v>56</v>
      </c>
      <c r="CB41" s="25" t="s">
        <v>56</v>
      </c>
      <c r="CC41" s="25" t="s">
        <v>56</v>
      </c>
      <c r="CD41" s="25" t="s">
        <v>56</v>
      </c>
      <c r="CE41" s="25" t="s">
        <v>56</v>
      </c>
      <c r="CF41" s="25" t="s">
        <v>56</v>
      </c>
      <c r="CG41" s="25" t="s">
        <v>56</v>
      </c>
      <c r="CH41" s="25" t="s">
        <v>56</v>
      </c>
      <c r="CI41" s="25" t="s">
        <v>56</v>
      </c>
      <c r="CJ41" s="25" t="s">
        <v>56</v>
      </c>
      <c r="CK41" s="25" t="s">
        <v>56</v>
      </c>
      <c r="CL41" s="25" t="s">
        <v>56</v>
      </c>
      <c r="CM41" s="25" t="s">
        <v>56</v>
      </c>
      <c r="CN41" s="25" t="s">
        <v>43</v>
      </c>
      <c r="CO41" s="25" t="s">
        <v>43</v>
      </c>
      <c r="CP41" s="25" t="s">
        <v>56</v>
      </c>
      <c r="CQ41" s="25" t="s">
        <v>56</v>
      </c>
      <c r="CR41" s="25" t="s">
        <v>56</v>
      </c>
      <c r="CS41" s="25" t="s">
        <v>43</v>
      </c>
      <c r="CT41" s="25" t="s">
        <v>43</v>
      </c>
      <c r="CU41" s="25" t="s">
        <v>43</v>
      </c>
      <c r="CV41" s="25" t="s">
        <v>43</v>
      </c>
      <c r="CW41" s="25" t="s">
        <v>43</v>
      </c>
      <c r="CX41" s="25" t="s">
        <v>43</v>
      </c>
      <c r="CY41" s="25" t="s">
        <v>43</v>
      </c>
      <c r="CZ41" s="25" t="s">
        <v>43</v>
      </c>
      <c r="DA41" s="25" t="s">
        <v>43</v>
      </c>
      <c r="DB41" s="25" t="s">
        <v>43</v>
      </c>
      <c r="DC41" s="25" t="s">
        <v>43</v>
      </c>
      <c r="DD41" s="25" t="s">
        <v>43</v>
      </c>
      <c r="DE41" s="25" t="s">
        <v>43</v>
      </c>
      <c r="DF41" s="25" t="s">
        <v>43</v>
      </c>
      <c r="DG41" s="25" t="s">
        <v>43</v>
      </c>
      <c r="DH41" s="25" t="s">
        <v>56</v>
      </c>
      <c r="DI41" s="25" t="s">
        <v>56</v>
      </c>
      <c r="DJ41" s="25" t="s">
        <v>56</v>
      </c>
      <c r="DK41" s="25" t="s">
        <v>43</v>
      </c>
      <c r="DL41" s="25" t="s">
        <v>43</v>
      </c>
      <c r="DM41" s="25" t="s">
        <v>43</v>
      </c>
      <c r="DN41" s="25" t="s">
        <v>43</v>
      </c>
      <c r="DO41" s="25" t="s">
        <v>43</v>
      </c>
      <c r="DP41" s="25" t="s">
        <v>43</v>
      </c>
      <c r="DQ41" s="25" t="s">
        <v>43</v>
      </c>
      <c r="DR41" s="25" t="s">
        <v>43</v>
      </c>
      <c r="DS41" s="25" t="s">
        <v>43</v>
      </c>
      <c r="DT41" s="25" t="s">
        <v>43</v>
      </c>
      <c r="DU41" s="25" t="s">
        <v>43</v>
      </c>
      <c r="DV41" s="25" t="s">
        <v>43</v>
      </c>
      <c r="DW41" s="25" t="s">
        <v>43</v>
      </c>
    </row>
    <row r="42" spans="1:130" s="25" customFormat="1" ht="24.6" customHeight="1">
      <c r="A42" s="65">
        <v>39</v>
      </c>
      <c r="B42" s="25" t="s">
        <v>214</v>
      </c>
      <c r="C42" s="45" t="s">
        <v>11</v>
      </c>
      <c r="D42" s="25" t="s">
        <v>208</v>
      </c>
      <c r="E42" s="70"/>
      <c r="F42" s="70"/>
      <c r="G42" s="25">
        <v>5</v>
      </c>
      <c r="H42" s="25" t="s">
        <v>215</v>
      </c>
      <c r="I42" s="25" t="s">
        <v>43</v>
      </c>
      <c r="J42" s="26">
        <v>15000000</v>
      </c>
      <c r="K42" s="25" t="s">
        <v>153</v>
      </c>
      <c r="L42" s="25" t="s">
        <v>153</v>
      </c>
      <c r="M42" s="25">
        <v>3</v>
      </c>
      <c r="N42" s="25" t="s">
        <v>43</v>
      </c>
      <c r="O42" s="25" t="s">
        <v>43</v>
      </c>
      <c r="P42" s="25" t="s">
        <v>56</v>
      </c>
      <c r="Q42" s="25" t="s">
        <v>43</v>
      </c>
      <c r="R42" s="25" t="s">
        <v>56</v>
      </c>
      <c r="S42" s="25" t="s">
        <v>56</v>
      </c>
      <c r="T42" s="25" t="s">
        <v>56</v>
      </c>
      <c r="U42" s="25" t="s">
        <v>56</v>
      </c>
      <c r="V42" s="25" t="s">
        <v>56</v>
      </c>
      <c r="W42" s="25" t="s">
        <v>56</v>
      </c>
      <c r="X42" s="25" t="s">
        <v>56</v>
      </c>
      <c r="Y42" s="25" t="s">
        <v>56</v>
      </c>
      <c r="Z42" s="25" t="s">
        <v>56</v>
      </c>
      <c r="AA42" s="25" t="s">
        <v>56</v>
      </c>
      <c r="AB42" s="25" t="s">
        <v>56</v>
      </c>
      <c r="AC42" s="25" t="s">
        <v>56</v>
      </c>
      <c r="AD42" s="25" t="s">
        <v>56</v>
      </c>
      <c r="AE42" s="25" t="s">
        <v>56</v>
      </c>
      <c r="AF42" s="25" t="s">
        <v>56</v>
      </c>
      <c r="AG42" s="25" t="s">
        <v>56</v>
      </c>
      <c r="AH42" s="25" t="s">
        <v>56</v>
      </c>
      <c r="AI42" s="25" t="s">
        <v>56</v>
      </c>
      <c r="AJ42" s="25" t="s">
        <v>56</v>
      </c>
      <c r="AK42" s="25" t="s">
        <v>56</v>
      </c>
      <c r="AL42" s="25" t="s">
        <v>43</v>
      </c>
      <c r="AM42" s="25" t="s">
        <v>43</v>
      </c>
      <c r="AN42" s="25" t="s">
        <v>43</v>
      </c>
      <c r="AO42" s="25" t="s">
        <v>43</v>
      </c>
      <c r="AP42" s="25" t="s">
        <v>43</v>
      </c>
      <c r="AQ42" s="25" t="s">
        <v>43</v>
      </c>
      <c r="AR42" s="25" t="s">
        <v>43</v>
      </c>
      <c r="AS42" s="25" t="s">
        <v>43</v>
      </c>
      <c r="AT42" s="25" t="s">
        <v>43</v>
      </c>
      <c r="AU42" s="25" t="s">
        <v>43</v>
      </c>
      <c r="AV42" s="25" t="s">
        <v>43</v>
      </c>
      <c r="AW42" s="25" t="s">
        <v>43</v>
      </c>
      <c r="AX42" s="25" t="s">
        <v>43</v>
      </c>
      <c r="AY42" s="25" t="s">
        <v>43</v>
      </c>
      <c r="AZ42" s="25" t="s">
        <v>43</v>
      </c>
      <c r="BA42" s="25" t="s">
        <v>43</v>
      </c>
      <c r="BB42" s="25" t="s">
        <v>43</v>
      </c>
      <c r="BC42" s="25" t="s">
        <v>43</v>
      </c>
      <c r="BD42" s="25" t="s">
        <v>56</v>
      </c>
      <c r="BE42" s="25" t="s">
        <v>56</v>
      </c>
      <c r="BF42" s="25" t="s">
        <v>56</v>
      </c>
      <c r="BG42" s="25" t="s">
        <v>56</v>
      </c>
      <c r="BH42" s="25" t="s">
        <v>56</v>
      </c>
      <c r="BI42" s="25" t="s">
        <v>56</v>
      </c>
      <c r="BJ42" s="25" t="s">
        <v>56</v>
      </c>
      <c r="BK42" s="25" t="s">
        <v>56</v>
      </c>
      <c r="BL42" s="25" t="s">
        <v>56</v>
      </c>
      <c r="BM42" s="25" t="s">
        <v>56</v>
      </c>
      <c r="BN42" s="25" t="s">
        <v>56</v>
      </c>
      <c r="BO42" s="25" t="s">
        <v>56</v>
      </c>
      <c r="BP42" s="25" t="s">
        <v>56</v>
      </c>
      <c r="BQ42" s="25" t="s">
        <v>56</v>
      </c>
      <c r="BR42" s="25" t="s">
        <v>56</v>
      </c>
      <c r="BS42" s="25" t="s">
        <v>56</v>
      </c>
      <c r="BT42" s="25" t="s">
        <v>56</v>
      </c>
      <c r="BU42" s="25" t="s">
        <v>56</v>
      </c>
      <c r="BV42" s="25" t="s">
        <v>56</v>
      </c>
      <c r="BW42" s="25" t="s">
        <v>56</v>
      </c>
      <c r="BX42" s="25" t="s">
        <v>56</v>
      </c>
      <c r="BY42" s="25" t="s">
        <v>56</v>
      </c>
      <c r="BZ42" s="25" t="s">
        <v>56</v>
      </c>
      <c r="CA42" s="25" t="s">
        <v>56</v>
      </c>
      <c r="CB42" s="25" t="s">
        <v>56</v>
      </c>
      <c r="CC42" s="25" t="s">
        <v>56</v>
      </c>
      <c r="CD42" s="25" t="s">
        <v>56</v>
      </c>
      <c r="CE42" s="25" t="s">
        <v>56</v>
      </c>
      <c r="CF42" s="25" t="s">
        <v>56</v>
      </c>
      <c r="CG42" s="25" t="s">
        <v>56</v>
      </c>
      <c r="CH42" s="25" t="s">
        <v>56</v>
      </c>
      <c r="CI42" s="25" t="s">
        <v>56</v>
      </c>
      <c r="CJ42" s="25" t="s">
        <v>56</v>
      </c>
      <c r="CK42" s="25" t="s">
        <v>56</v>
      </c>
      <c r="CL42" s="25" t="s">
        <v>56</v>
      </c>
      <c r="CM42" s="25" t="s">
        <v>56</v>
      </c>
      <c r="CN42" s="25" t="s">
        <v>43</v>
      </c>
      <c r="CO42" s="25" t="s">
        <v>43</v>
      </c>
      <c r="CP42" s="25" t="s">
        <v>43</v>
      </c>
      <c r="CQ42" s="25" t="s">
        <v>43</v>
      </c>
      <c r="CR42" s="25" t="s">
        <v>43</v>
      </c>
      <c r="CS42" s="25" t="s">
        <v>43</v>
      </c>
      <c r="CT42" s="25" t="s">
        <v>43</v>
      </c>
      <c r="CU42" s="25" t="s">
        <v>43</v>
      </c>
      <c r="CV42" s="25" t="s">
        <v>43</v>
      </c>
      <c r="CW42" s="25" t="s">
        <v>43</v>
      </c>
      <c r="CX42" s="25" t="s">
        <v>43</v>
      </c>
      <c r="CY42" s="25" t="s">
        <v>43</v>
      </c>
      <c r="CZ42" s="25" t="s">
        <v>43</v>
      </c>
      <c r="DA42" s="25" t="s">
        <v>43</v>
      </c>
      <c r="DB42" s="25" t="s">
        <v>43</v>
      </c>
      <c r="DC42" s="25" t="s">
        <v>43</v>
      </c>
      <c r="DD42" s="25" t="s">
        <v>43</v>
      </c>
      <c r="DE42" s="25" t="s">
        <v>43</v>
      </c>
      <c r="DF42" s="25" t="s">
        <v>43</v>
      </c>
      <c r="DG42" s="25" t="s">
        <v>43</v>
      </c>
      <c r="DH42" s="25" t="s">
        <v>43</v>
      </c>
      <c r="DI42" s="25" t="s">
        <v>43</v>
      </c>
      <c r="DJ42" s="25" t="s">
        <v>43</v>
      </c>
      <c r="DK42" s="25" t="s">
        <v>43</v>
      </c>
      <c r="DL42" s="25" t="s">
        <v>43</v>
      </c>
      <c r="DM42" s="25" t="s">
        <v>43</v>
      </c>
      <c r="DN42" s="25" t="s">
        <v>43</v>
      </c>
      <c r="DO42" s="25" t="s">
        <v>43</v>
      </c>
      <c r="DP42" s="25" t="s">
        <v>43</v>
      </c>
      <c r="DQ42" s="25" t="s">
        <v>43</v>
      </c>
      <c r="DR42" s="25" t="s">
        <v>43</v>
      </c>
      <c r="DS42" s="25" t="s">
        <v>43</v>
      </c>
      <c r="DT42" s="25" t="s">
        <v>43</v>
      </c>
      <c r="DU42" s="25" t="s">
        <v>43</v>
      </c>
      <c r="DV42" s="25" t="s">
        <v>43</v>
      </c>
      <c r="DW42" s="25" t="s">
        <v>43</v>
      </c>
    </row>
    <row r="43" spans="1:130" s="25" customFormat="1" ht="24.6" customHeight="1">
      <c r="A43" s="65">
        <v>40</v>
      </c>
      <c r="B43" s="25" t="s">
        <v>216</v>
      </c>
      <c r="C43" s="45">
        <v>698319292</v>
      </c>
      <c r="D43" s="25" t="s">
        <v>217</v>
      </c>
      <c r="E43" s="70"/>
      <c r="F43" s="70"/>
      <c r="G43" s="25">
        <v>7</v>
      </c>
      <c r="H43" s="25" t="s">
        <v>218</v>
      </c>
      <c r="I43" s="25" t="s">
        <v>56</v>
      </c>
      <c r="J43" s="26">
        <v>3600000</v>
      </c>
      <c r="K43" s="25" t="s">
        <v>219</v>
      </c>
      <c r="L43" s="25" t="s">
        <v>220</v>
      </c>
      <c r="M43" s="25">
        <v>23</v>
      </c>
      <c r="N43" s="25" t="s">
        <v>43</v>
      </c>
      <c r="O43" s="25" t="s">
        <v>43</v>
      </c>
      <c r="P43" s="25" t="s">
        <v>43</v>
      </c>
      <c r="Q43" s="25" t="s">
        <v>43</v>
      </c>
      <c r="R43" s="25" t="s">
        <v>56</v>
      </c>
      <c r="S43" s="25" t="s">
        <v>56</v>
      </c>
      <c r="T43" s="25" t="s">
        <v>43</v>
      </c>
      <c r="U43" s="25" t="s">
        <v>43</v>
      </c>
      <c r="V43" s="25" t="s">
        <v>43</v>
      </c>
      <c r="W43" s="25" t="s">
        <v>56</v>
      </c>
      <c r="X43" s="25" t="s">
        <v>56</v>
      </c>
      <c r="Y43" s="25" t="s">
        <v>43</v>
      </c>
      <c r="Z43" s="25" t="s">
        <v>43</v>
      </c>
      <c r="AA43" s="25" t="s">
        <v>43</v>
      </c>
      <c r="AB43" s="25" t="s">
        <v>43</v>
      </c>
      <c r="AC43" s="25" t="s">
        <v>43</v>
      </c>
      <c r="AD43" s="25" t="s">
        <v>43</v>
      </c>
      <c r="AE43" s="25" t="s">
        <v>43</v>
      </c>
      <c r="AF43" s="25" t="s">
        <v>43</v>
      </c>
      <c r="AG43" s="25" t="s">
        <v>43</v>
      </c>
      <c r="AH43" s="25" t="s">
        <v>43</v>
      </c>
      <c r="AI43" s="25" t="s">
        <v>43</v>
      </c>
      <c r="AJ43" s="25" t="s">
        <v>43</v>
      </c>
      <c r="AK43" s="25" t="s">
        <v>43</v>
      </c>
      <c r="AL43" s="25" t="s">
        <v>43</v>
      </c>
      <c r="AM43" s="25" t="s">
        <v>43</v>
      </c>
      <c r="AN43" s="25" t="s">
        <v>43</v>
      </c>
      <c r="AO43" s="25" t="s">
        <v>43</v>
      </c>
      <c r="AP43" s="25" t="s">
        <v>56</v>
      </c>
      <c r="AQ43" s="25" t="s">
        <v>43</v>
      </c>
      <c r="AR43" s="25" t="s">
        <v>43</v>
      </c>
      <c r="AS43" s="25" t="s">
        <v>43</v>
      </c>
      <c r="AT43" s="25" t="s">
        <v>43</v>
      </c>
      <c r="AU43" s="25" t="s">
        <v>43</v>
      </c>
      <c r="AV43" s="25" t="s">
        <v>43</v>
      </c>
      <c r="AW43" s="25" t="s">
        <v>43</v>
      </c>
      <c r="AX43" s="25" t="s">
        <v>43</v>
      </c>
      <c r="AY43" s="25" t="s">
        <v>43</v>
      </c>
      <c r="AZ43" s="25" t="s">
        <v>43</v>
      </c>
      <c r="BA43" s="25" t="s">
        <v>43</v>
      </c>
      <c r="BB43" s="25" t="s">
        <v>43</v>
      </c>
      <c r="BC43" s="25" t="s">
        <v>43</v>
      </c>
      <c r="BD43" s="25" t="s">
        <v>43</v>
      </c>
      <c r="BE43" s="25" t="s">
        <v>43</v>
      </c>
      <c r="BF43" s="25" t="s">
        <v>43</v>
      </c>
      <c r="BG43" s="25" t="s">
        <v>43</v>
      </c>
      <c r="BH43" s="25" t="s">
        <v>56</v>
      </c>
      <c r="BI43" s="25" t="s">
        <v>43</v>
      </c>
      <c r="BJ43" s="25" t="s">
        <v>43</v>
      </c>
      <c r="BK43" s="25" t="s">
        <v>43</v>
      </c>
      <c r="BL43" s="25" t="s">
        <v>43</v>
      </c>
      <c r="BM43" s="25" t="s">
        <v>43</v>
      </c>
      <c r="BN43" s="25" t="s">
        <v>43</v>
      </c>
      <c r="BO43" s="25" t="s">
        <v>43</v>
      </c>
      <c r="BP43" s="25" t="s">
        <v>43</v>
      </c>
      <c r="BQ43" s="25" t="s">
        <v>43</v>
      </c>
      <c r="BR43" s="25" t="s">
        <v>43</v>
      </c>
      <c r="BS43" s="25" t="s">
        <v>43</v>
      </c>
      <c r="BT43" s="25" t="s">
        <v>43</v>
      </c>
      <c r="BU43" s="25" t="s">
        <v>43</v>
      </c>
      <c r="BV43" s="12" t="s">
        <v>56</v>
      </c>
      <c r="BW43" s="12" t="s">
        <v>56</v>
      </c>
      <c r="BX43" s="12" t="s">
        <v>56</v>
      </c>
      <c r="BY43" s="12" t="s">
        <v>56</v>
      </c>
      <c r="BZ43" s="12" t="s">
        <v>56</v>
      </c>
      <c r="CA43" s="12" t="s">
        <v>56</v>
      </c>
      <c r="CB43" s="12" t="s">
        <v>56</v>
      </c>
      <c r="CC43" s="12" t="s">
        <v>56</v>
      </c>
      <c r="CD43" s="12" t="s">
        <v>56</v>
      </c>
      <c r="CE43" s="12" t="s">
        <v>56</v>
      </c>
      <c r="CF43" s="12" t="s">
        <v>56</v>
      </c>
      <c r="CG43" s="12" t="s">
        <v>56</v>
      </c>
      <c r="CH43" s="12" t="s">
        <v>56</v>
      </c>
      <c r="CI43" s="12" t="s">
        <v>56</v>
      </c>
      <c r="CJ43" s="12" t="s">
        <v>56</v>
      </c>
      <c r="CK43" s="12" t="s">
        <v>56</v>
      </c>
      <c r="CL43" s="12" t="s">
        <v>56</v>
      </c>
      <c r="CM43" s="25" t="s">
        <v>56</v>
      </c>
      <c r="CN43" s="25" t="s">
        <v>56</v>
      </c>
      <c r="CO43" s="25" t="s">
        <v>56</v>
      </c>
      <c r="CP43" s="25" t="s">
        <v>56</v>
      </c>
      <c r="CQ43" s="25" t="s">
        <v>56</v>
      </c>
      <c r="CR43" s="25" t="s">
        <v>56</v>
      </c>
      <c r="CS43" s="25" t="s">
        <v>56</v>
      </c>
      <c r="CT43" s="3" t="s">
        <v>56</v>
      </c>
      <c r="CU43" s="25" t="s">
        <v>56</v>
      </c>
      <c r="CV43" s="25" t="s">
        <v>56</v>
      </c>
      <c r="CW43" s="25" t="s">
        <v>56</v>
      </c>
      <c r="CX43" s="25" t="s">
        <v>56</v>
      </c>
      <c r="CY43" s="25" t="s">
        <v>56</v>
      </c>
      <c r="CZ43" s="25" t="s">
        <v>56</v>
      </c>
      <c r="DA43" s="25" t="s">
        <v>56</v>
      </c>
      <c r="DB43" s="25" t="s">
        <v>56</v>
      </c>
      <c r="DC43" s="25" t="s">
        <v>56</v>
      </c>
      <c r="DD43" s="25" t="s">
        <v>56</v>
      </c>
      <c r="DE43" s="25" t="s">
        <v>56</v>
      </c>
      <c r="DF43" s="25" t="s">
        <v>56</v>
      </c>
      <c r="DG43" s="25" t="s">
        <v>56</v>
      </c>
      <c r="DH43" s="25" t="s">
        <v>56</v>
      </c>
      <c r="DI43" s="25" t="s">
        <v>56</v>
      </c>
      <c r="DJ43" s="25" t="s">
        <v>56</v>
      </c>
      <c r="DK43" s="25" t="s">
        <v>56</v>
      </c>
      <c r="DL43" s="25" t="s">
        <v>56</v>
      </c>
      <c r="DM43" s="25" t="s">
        <v>56</v>
      </c>
      <c r="DN43" s="25" t="s">
        <v>56</v>
      </c>
      <c r="DO43" s="25" t="s">
        <v>56</v>
      </c>
      <c r="DP43" s="25" t="s">
        <v>56</v>
      </c>
      <c r="DQ43" s="25" t="s">
        <v>56</v>
      </c>
      <c r="DR43" s="25" t="s">
        <v>56</v>
      </c>
      <c r="DS43" s="25" t="s">
        <v>56</v>
      </c>
      <c r="DT43" s="25" t="s">
        <v>56</v>
      </c>
      <c r="DU43" s="25" t="s">
        <v>56</v>
      </c>
      <c r="DV43" s="25" t="s">
        <v>56</v>
      </c>
      <c r="DW43" s="25" t="s">
        <v>56</v>
      </c>
    </row>
    <row r="44" spans="1:130" s="25" customFormat="1" ht="24.6" customHeight="1">
      <c r="A44" s="65">
        <v>41</v>
      </c>
      <c r="B44" s="25" t="s">
        <v>221</v>
      </c>
      <c r="C44" s="45">
        <v>698336566</v>
      </c>
      <c r="D44" s="25" t="s">
        <v>55</v>
      </c>
      <c r="E44" s="70"/>
      <c r="F44" s="70"/>
      <c r="G44" s="25">
        <v>2</v>
      </c>
      <c r="H44" s="25" t="s">
        <v>222</v>
      </c>
      <c r="I44" s="25" t="s">
        <v>56</v>
      </c>
      <c r="J44" s="26">
        <v>1200000</v>
      </c>
      <c r="K44" s="25" t="s">
        <v>153</v>
      </c>
      <c r="L44" s="25" t="s">
        <v>223</v>
      </c>
      <c r="M44" s="25">
        <v>2</v>
      </c>
      <c r="N44" s="25" t="s">
        <v>56</v>
      </c>
      <c r="O44" s="25" t="s">
        <v>43</v>
      </c>
      <c r="P44" s="25" t="s">
        <v>56</v>
      </c>
      <c r="Q44" s="25" t="s">
        <v>56</v>
      </c>
      <c r="R44" s="25" t="s">
        <v>56</v>
      </c>
      <c r="S44" s="25" t="s">
        <v>56</v>
      </c>
      <c r="T44" s="25" t="s">
        <v>56</v>
      </c>
      <c r="U44" s="25" t="s">
        <v>56</v>
      </c>
      <c r="V44" s="25" t="s">
        <v>56</v>
      </c>
      <c r="W44" s="25" t="s">
        <v>56</v>
      </c>
      <c r="X44" s="25" t="s">
        <v>56</v>
      </c>
      <c r="Y44" s="25" t="s">
        <v>56</v>
      </c>
      <c r="Z44" s="25" t="s">
        <v>56</v>
      </c>
      <c r="AA44" s="25" t="s">
        <v>56</v>
      </c>
      <c r="AB44" s="25" t="s">
        <v>56</v>
      </c>
      <c r="AC44" s="25" t="s">
        <v>56</v>
      </c>
      <c r="AD44" s="25" t="s">
        <v>56</v>
      </c>
      <c r="AE44" s="25" t="s">
        <v>56</v>
      </c>
      <c r="AF44" s="25" t="s">
        <v>56</v>
      </c>
      <c r="AG44" s="25" t="s">
        <v>56</v>
      </c>
      <c r="AH44" s="25" t="s">
        <v>56</v>
      </c>
      <c r="AI44" s="25" t="s">
        <v>56</v>
      </c>
      <c r="AJ44" s="25" t="s">
        <v>56</v>
      </c>
      <c r="AK44" s="25" t="s">
        <v>56</v>
      </c>
      <c r="AL44" s="25" t="s">
        <v>43</v>
      </c>
      <c r="AM44" s="25" t="s">
        <v>43</v>
      </c>
      <c r="AN44" s="25" t="s">
        <v>43</v>
      </c>
      <c r="AO44" s="25" t="s">
        <v>43</v>
      </c>
      <c r="AP44" s="25" t="s">
        <v>43</v>
      </c>
      <c r="AQ44" s="25" t="s">
        <v>43</v>
      </c>
      <c r="AR44" s="25" t="s">
        <v>43</v>
      </c>
      <c r="AS44" s="25" t="s">
        <v>43</v>
      </c>
      <c r="AT44" s="25" t="s">
        <v>43</v>
      </c>
      <c r="AU44" s="25" t="s">
        <v>43</v>
      </c>
      <c r="AV44" s="25" t="s">
        <v>43</v>
      </c>
      <c r="AW44" s="25" t="s">
        <v>43</v>
      </c>
      <c r="AX44" s="25" t="s">
        <v>43</v>
      </c>
      <c r="AY44" s="25" t="s">
        <v>43</v>
      </c>
      <c r="AZ44" s="25" t="s">
        <v>43</v>
      </c>
      <c r="BA44" s="25" t="s">
        <v>43</v>
      </c>
      <c r="BB44" s="25" t="s">
        <v>43</v>
      </c>
      <c r="BC44" s="25" t="s">
        <v>43</v>
      </c>
      <c r="BD44" s="25" t="s">
        <v>56</v>
      </c>
      <c r="BE44" s="25" t="s">
        <v>56</v>
      </c>
      <c r="BF44" s="25" t="s">
        <v>56</v>
      </c>
      <c r="BG44" s="25" t="s">
        <v>56</v>
      </c>
      <c r="BH44" s="25" t="s">
        <v>56</v>
      </c>
      <c r="BI44" s="25" t="s">
        <v>56</v>
      </c>
      <c r="BJ44" s="25" t="s">
        <v>56</v>
      </c>
      <c r="BK44" s="25" t="s">
        <v>56</v>
      </c>
      <c r="BL44" s="25" t="s">
        <v>56</v>
      </c>
      <c r="BM44" s="25" t="s">
        <v>56</v>
      </c>
      <c r="BN44" s="25" t="s">
        <v>56</v>
      </c>
      <c r="BO44" s="25" t="s">
        <v>56</v>
      </c>
      <c r="BP44" s="25" t="s">
        <v>56</v>
      </c>
      <c r="BQ44" s="25" t="s">
        <v>56</v>
      </c>
      <c r="BR44" s="25" t="s">
        <v>56</v>
      </c>
      <c r="BS44" s="25" t="s">
        <v>56</v>
      </c>
      <c r="BT44" s="25" t="s">
        <v>56</v>
      </c>
      <c r="BU44" s="25" t="s">
        <v>56</v>
      </c>
      <c r="BV44" s="25" t="s">
        <v>56</v>
      </c>
      <c r="BW44" s="25" t="s">
        <v>56</v>
      </c>
      <c r="BX44" s="25" t="s">
        <v>56</v>
      </c>
      <c r="BY44" s="25" t="s">
        <v>56</v>
      </c>
      <c r="BZ44" s="25" t="s">
        <v>56</v>
      </c>
      <c r="CA44" s="25" t="s">
        <v>56</v>
      </c>
      <c r="CB44" s="25" t="s">
        <v>56</v>
      </c>
      <c r="CC44" s="25" t="s">
        <v>56</v>
      </c>
      <c r="CD44" s="25" t="s">
        <v>56</v>
      </c>
      <c r="CE44" s="25" t="s">
        <v>56</v>
      </c>
      <c r="CF44" s="25" t="s">
        <v>56</v>
      </c>
      <c r="CG44" s="25" t="s">
        <v>56</v>
      </c>
      <c r="CH44" s="25" t="s">
        <v>56</v>
      </c>
      <c r="CI44" s="25" t="s">
        <v>56</v>
      </c>
      <c r="CJ44" s="25" t="s">
        <v>56</v>
      </c>
      <c r="CK44" s="25" t="s">
        <v>56</v>
      </c>
      <c r="CL44" s="25" t="s">
        <v>56</v>
      </c>
      <c r="CM44" s="25" t="s">
        <v>56</v>
      </c>
      <c r="CN44" s="25" t="s">
        <v>56</v>
      </c>
      <c r="CO44" s="25" t="s">
        <v>56</v>
      </c>
      <c r="CP44" s="25" t="s">
        <v>56</v>
      </c>
      <c r="CQ44" s="25" t="s">
        <v>56</v>
      </c>
      <c r="CR44" s="25" t="s">
        <v>56</v>
      </c>
      <c r="CS44" s="25" t="s">
        <v>56</v>
      </c>
      <c r="CT44" s="25" t="s">
        <v>56</v>
      </c>
      <c r="CU44" s="25" t="s">
        <v>56</v>
      </c>
      <c r="CV44" s="25" t="s">
        <v>56</v>
      </c>
      <c r="CW44" s="25" t="s">
        <v>56</v>
      </c>
      <c r="CX44" s="25" t="s">
        <v>56</v>
      </c>
      <c r="CY44" s="25" t="s">
        <v>56</v>
      </c>
      <c r="CZ44" s="25" t="s">
        <v>56</v>
      </c>
      <c r="DA44" s="25" t="s">
        <v>56</v>
      </c>
      <c r="DB44" s="25" t="s">
        <v>56</v>
      </c>
      <c r="DC44" s="25" t="s">
        <v>56</v>
      </c>
      <c r="DD44" s="25" t="s">
        <v>56</v>
      </c>
      <c r="DE44" s="25" t="s">
        <v>56</v>
      </c>
      <c r="DF44" s="25" t="s">
        <v>56</v>
      </c>
      <c r="DG44" s="25" t="s">
        <v>56</v>
      </c>
      <c r="DH44" s="25" t="s">
        <v>56</v>
      </c>
      <c r="DI44" s="25" t="s">
        <v>56</v>
      </c>
      <c r="DJ44" s="25" t="s">
        <v>56</v>
      </c>
      <c r="DK44" s="25" t="s">
        <v>56</v>
      </c>
      <c r="DL44" s="25" t="s">
        <v>56</v>
      </c>
      <c r="DM44" s="25" t="s">
        <v>56</v>
      </c>
      <c r="DN44" s="25" t="s">
        <v>56</v>
      </c>
      <c r="DO44" s="25" t="s">
        <v>56</v>
      </c>
      <c r="DP44" s="25" t="s">
        <v>56</v>
      </c>
      <c r="DQ44" s="25" t="s">
        <v>56</v>
      </c>
      <c r="DR44" s="25" t="s">
        <v>56</v>
      </c>
      <c r="DS44" s="25" t="s">
        <v>56</v>
      </c>
      <c r="DT44" s="25" t="s">
        <v>56</v>
      </c>
      <c r="DU44" s="25" t="s">
        <v>56</v>
      </c>
      <c r="DV44" s="25" t="s">
        <v>56</v>
      </c>
      <c r="DW44" s="25" t="s">
        <v>56</v>
      </c>
    </row>
    <row r="45" spans="1:130" s="25" customFormat="1" ht="15">
      <c r="A45" s="65">
        <v>42</v>
      </c>
      <c r="B45" s="25" t="s">
        <v>251</v>
      </c>
      <c r="C45" s="25">
        <v>694884692</v>
      </c>
      <c r="D45" s="54" t="s">
        <v>224</v>
      </c>
      <c r="E45" s="70"/>
      <c r="F45" s="70"/>
      <c r="G45" s="25">
        <v>2</v>
      </c>
      <c r="J45" s="55">
        <v>60000000</v>
      </c>
      <c r="K45" s="56" t="s">
        <v>153</v>
      </c>
      <c r="L45" s="25" t="s">
        <v>153</v>
      </c>
      <c r="M45" s="57">
        <v>7</v>
      </c>
      <c r="N45" s="30" t="s">
        <v>43</v>
      </c>
      <c r="O45" s="50" t="s">
        <v>56</v>
      </c>
      <c r="P45" s="50" t="s">
        <v>56</v>
      </c>
      <c r="Q45" s="50" t="s">
        <v>56</v>
      </c>
      <c r="R45" s="50" t="s">
        <v>56</v>
      </c>
      <c r="S45" s="25" t="s">
        <v>56</v>
      </c>
      <c r="T45" s="50" t="s">
        <v>56</v>
      </c>
      <c r="U45" s="50" t="s">
        <v>56</v>
      </c>
      <c r="V45" s="50" t="s">
        <v>56</v>
      </c>
      <c r="W45" s="50" t="s">
        <v>56</v>
      </c>
      <c r="X45" s="50" t="s">
        <v>56</v>
      </c>
      <c r="Y45" s="50" t="s">
        <v>56</v>
      </c>
      <c r="Z45" s="50" t="s">
        <v>56</v>
      </c>
      <c r="AA45" s="50" t="s">
        <v>43</v>
      </c>
      <c r="AB45" s="50" t="s">
        <v>43</v>
      </c>
      <c r="AC45" s="50" t="s">
        <v>43</v>
      </c>
      <c r="AD45" s="50" t="s">
        <v>43</v>
      </c>
      <c r="AE45" s="25" t="s">
        <v>43</v>
      </c>
      <c r="AF45" s="50" t="s">
        <v>43</v>
      </c>
      <c r="AG45" s="50" t="s">
        <v>43</v>
      </c>
      <c r="AH45" s="50" t="s">
        <v>43</v>
      </c>
      <c r="AI45" s="50" t="s">
        <v>43</v>
      </c>
      <c r="AJ45" s="50" t="s">
        <v>43</v>
      </c>
      <c r="AK45" s="50" t="s">
        <v>43</v>
      </c>
      <c r="AL45" s="50" t="s">
        <v>43</v>
      </c>
      <c r="AM45" s="50" t="s">
        <v>43</v>
      </c>
      <c r="AN45" s="58" t="s">
        <v>56</v>
      </c>
      <c r="AO45" s="58" t="s">
        <v>56</v>
      </c>
      <c r="AP45" s="58" t="s">
        <v>56</v>
      </c>
      <c r="AQ45" s="58" t="s">
        <v>56</v>
      </c>
      <c r="AR45" s="58" t="s">
        <v>56</v>
      </c>
      <c r="AS45" s="58" t="s">
        <v>56</v>
      </c>
      <c r="AT45" s="58" t="s">
        <v>56</v>
      </c>
      <c r="AU45" s="58" t="s">
        <v>56</v>
      </c>
      <c r="AV45" s="58" t="s">
        <v>56</v>
      </c>
      <c r="AW45" s="58" t="s">
        <v>56</v>
      </c>
      <c r="AX45" s="58" t="s">
        <v>56</v>
      </c>
      <c r="AY45" s="58" t="s">
        <v>56</v>
      </c>
      <c r="AZ45" s="58" t="s">
        <v>56</v>
      </c>
      <c r="BA45" s="58" t="s">
        <v>56</v>
      </c>
      <c r="BB45" s="58" t="s">
        <v>56</v>
      </c>
      <c r="BC45" s="58" t="s">
        <v>56</v>
      </c>
      <c r="BD45" s="58" t="s">
        <v>56</v>
      </c>
      <c r="BE45" s="58" t="s">
        <v>56</v>
      </c>
      <c r="BF45" s="58" t="s">
        <v>56</v>
      </c>
      <c r="BG45" s="58" t="s">
        <v>56</v>
      </c>
      <c r="BH45" s="58" t="s">
        <v>56</v>
      </c>
      <c r="BI45" s="58" t="s">
        <v>56</v>
      </c>
      <c r="BJ45" s="58" t="s">
        <v>56</v>
      </c>
      <c r="BK45" s="58" t="s">
        <v>56</v>
      </c>
      <c r="BL45" s="58" t="s">
        <v>56</v>
      </c>
      <c r="BM45" s="58" t="s">
        <v>56</v>
      </c>
      <c r="BN45" s="58" t="s">
        <v>56</v>
      </c>
      <c r="BO45" s="58" t="s">
        <v>56</v>
      </c>
      <c r="BP45" s="58" t="s">
        <v>56</v>
      </c>
      <c r="BQ45" s="58" t="s">
        <v>56</v>
      </c>
      <c r="BR45" s="58" t="s">
        <v>56</v>
      </c>
      <c r="BS45" s="58" t="s">
        <v>56</v>
      </c>
      <c r="BT45" s="58" t="s">
        <v>56</v>
      </c>
      <c r="BU45" s="58" t="s">
        <v>56</v>
      </c>
      <c r="BV45" s="58" t="s">
        <v>56</v>
      </c>
      <c r="BW45" s="58" t="s">
        <v>56</v>
      </c>
      <c r="BX45" s="58" t="s">
        <v>56</v>
      </c>
      <c r="BY45" s="58" t="s">
        <v>56</v>
      </c>
      <c r="BZ45" s="58" t="s">
        <v>56</v>
      </c>
      <c r="CA45" s="58" t="s">
        <v>56</v>
      </c>
      <c r="CB45" s="58" t="s">
        <v>56</v>
      </c>
      <c r="CC45" s="58" t="s">
        <v>56</v>
      </c>
      <c r="CD45" s="58" t="s">
        <v>56</v>
      </c>
      <c r="CE45" s="58" t="s">
        <v>56</v>
      </c>
      <c r="CF45" s="58" t="s">
        <v>56</v>
      </c>
      <c r="CG45" s="58" t="s">
        <v>56</v>
      </c>
      <c r="CH45" s="58" t="s">
        <v>56</v>
      </c>
      <c r="CI45" s="58" t="s">
        <v>56</v>
      </c>
      <c r="CJ45" s="58" t="s">
        <v>56</v>
      </c>
      <c r="CK45" s="58" t="s">
        <v>56</v>
      </c>
      <c r="CL45" s="58" t="s">
        <v>56</v>
      </c>
      <c r="CM45" s="58" t="s">
        <v>56</v>
      </c>
      <c r="CN45" s="58" t="s">
        <v>56</v>
      </c>
      <c r="CO45" s="58" t="s">
        <v>56</v>
      </c>
      <c r="CP45" s="58" t="s">
        <v>56</v>
      </c>
      <c r="CQ45" s="58" t="s">
        <v>56</v>
      </c>
      <c r="CR45" s="58" t="s">
        <v>56</v>
      </c>
      <c r="CS45" s="58" t="s">
        <v>56</v>
      </c>
      <c r="CT45" s="58" t="s">
        <v>56</v>
      </c>
      <c r="CU45" s="59" t="s">
        <v>43</v>
      </c>
      <c r="CV45" s="59" t="s">
        <v>43</v>
      </c>
      <c r="CW45" s="59" t="s">
        <v>43</v>
      </c>
      <c r="CX45" s="59" t="s">
        <v>43</v>
      </c>
      <c r="CY45" s="59" t="s">
        <v>43</v>
      </c>
      <c r="CZ45" s="59" t="s">
        <v>43</v>
      </c>
      <c r="DA45" s="59" t="s">
        <v>43</v>
      </c>
      <c r="DB45" s="59" t="s">
        <v>43</v>
      </c>
      <c r="DC45" s="59" t="s">
        <v>43</v>
      </c>
      <c r="DD45" s="59" t="s">
        <v>43</v>
      </c>
      <c r="DE45" s="59" t="s">
        <v>43</v>
      </c>
      <c r="DF45" s="59" t="s">
        <v>43</v>
      </c>
      <c r="DG45" s="59" t="s">
        <v>43</v>
      </c>
      <c r="DH45" s="59" t="s">
        <v>43</v>
      </c>
      <c r="DI45" s="59" t="s">
        <v>43</v>
      </c>
      <c r="DJ45" s="59" t="s">
        <v>43</v>
      </c>
      <c r="DK45" s="59" t="s">
        <v>43</v>
      </c>
      <c r="DL45" s="59" t="s">
        <v>43</v>
      </c>
      <c r="DM45" s="59" t="s">
        <v>43</v>
      </c>
      <c r="DN45" s="59" t="s">
        <v>43</v>
      </c>
      <c r="DO45" s="59" t="s">
        <v>43</v>
      </c>
      <c r="DP45" s="59" t="s">
        <v>43</v>
      </c>
      <c r="DQ45" s="59" t="s">
        <v>43</v>
      </c>
      <c r="DR45" s="59" t="s">
        <v>43</v>
      </c>
      <c r="DS45" s="59" t="s">
        <v>43</v>
      </c>
      <c r="DT45" s="59" t="s">
        <v>43</v>
      </c>
      <c r="DU45" s="59" t="s">
        <v>43</v>
      </c>
      <c r="DV45" s="59" t="s">
        <v>43</v>
      </c>
      <c r="DW45" s="59" t="s">
        <v>43</v>
      </c>
      <c r="DX45" s="3" t="s">
        <v>36</v>
      </c>
    </row>
    <row r="46" spans="1:130" s="25" customFormat="1" ht="24.6" customHeight="1">
      <c r="A46" s="65">
        <v>43</v>
      </c>
      <c r="B46" s="29" t="s">
        <v>226</v>
      </c>
      <c r="C46" s="29">
        <v>697181400</v>
      </c>
      <c r="D46" s="29" t="s">
        <v>227</v>
      </c>
      <c r="E46" s="70"/>
      <c r="F46" s="70"/>
      <c r="G46" s="29">
        <v>40</v>
      </c>
      <c r="H46" s="29" t="s">
        <v>228</v>
      </c>
      <c r="I46" s="29" t="s">
        <v>56</v>
      </c>
      <c r="J46" s="62">
        <v>17000000</v>
      </c>
      <c r="K46" s="25" t="s">
        <v>180</v>
      </c>
      <c r="L46" s="29" t="s">
        <v>229</v>
      </c>
      <c r="M46" s="29">
        <v>12</v>
      </c>
      <c r="N46" s="29" t="s">
        <v>56</v>
      </c>
      <c r="O46" s="29" t="s">
        <v>43</v>
      </c>
      <c r="P46" s="29" t="s">
        <v>56</v>
      </c>
      <c r="Q46" s="29" t="s">
        <v>43</v>
      </c>
      <c r="R46" s="29" t="s">
        <v>43</v>
      </c>
      <c r="S46" s="29" t="s">
        <v>56</v>
      </c>
      <c r="T46" s="12" t="s">
        <v>56</v>
      </c>
      <c r="U46" s="12" t="s">
        <v>56</v>
      </c>
      <c r="V46" s="12" t="s">
        <v>43</v>
      </c>
      <c r="W46" s="12" t="s">
        <v>43</v>
      </c>
      <c r="X46" s="12" t="s">
        <v>43</v>
      </c>
      <c r="Y46" s="12" t="s">
        <v>43</v>
      </c>
      <c r="Z46" s="12" t="s">
        <v>43</v>
      </c>
      <c r="AA46" s="12" t="s">
        <v>43</v>
      </c>
      <c r="AB46" s="12" t="s">
        <v>43</v>
      </c>
      <c r="AC46" s="12" t="s">
        <v>56</v>
      </c>
      <c r="AD46" s="12" t="s">
        <v>43</v>
      </c>
      <c r="AE46" s="12" t="s">
        <v>43</v>
      </c>
      <c r="AF46" s="12" t="s">
        <v>43</v>
      </c>
      <c r="AG46" s="12" t="s">
        <v>56</v>
      </c>
      <c r="AH46" s="12" t="s">
        <v>56</v>
      </c>
      <c r="AI46" s="12" t="s">
        <v>43</v>
      </c>
      <c r="AJ46" s="12" t="s">
        <v>43</v>
      </c>
      <c r="AK46" s="12" t="s">
        <v>43</v>
      </c>
      <c r="AL46" s="12" t="s">
        <v>56</v>
      </c>
      <c r="AM46" s="12" t="s">
        <v>56</v>
      </c>
      <c r="AN46" s="12" t="s">
        <v>43</v>
      </c>
      <c r="AO46" s="12" t="s">
        <v>43</v>
      </c>
      <c r="AP46" s="12" t="s">
        <v>43</v>
      </c>
      <c r="AQ46" s="12" t="s">
        <v>43</v>
      </c>
      <c r="AR46" s="12" t="s">
        <v>43</v>
      </c>
      <c r="AS46" s="12" t="s">
        <v>43</v>
      </c>
      <c r="AT46" s="12" t="s">
        <v>43</v>
      </c>
      <c r="AU46" s="12" t="s">
        <v>56</v>
      </c>
      <c r="AV46" s="12" t="s">
        <v>56</v>
      </c>
      <c r="AW46" s="12" t="s">
        <v>43</v>
      </c>
      <c r="AX46" s="12" t="s">
        <v>43</v>
      </c>
      <c r="AY46" s="12" t="s">
        <v>56</v>
      </c>
      <c r="AZ46" s="12" t="s">
        <v>56</v>
      </c>
      <c r="BA46" s="12" t="s">
        <v>43</v>
      </c>
      <c r="BB46" s="12" t="s">
        <v>43</v>
      </c>
      <c r="BC46" s="12" t="s">
        <v>43</v>
      </c>
      <c r="BD46" s="12" t="s">
        <v>43</v>
      </c>
      <c r="BE46" s="12" t="s">
        <v>43</v>
      </c>
      <c r="BF46" s="12" t="s">
        <v>43</v>
      </c>
      <c r="BG46" s="12" t="s">
        <v>43</v>
      </c>
      <c r="BH46" s="12" t="s">
        <v>43</v>
      </c>
      <c r="BI46" s="12" t="s">
        <v>43</v>
      </c>
      <c r="BJ46" s="12" t="s">
        <v>43</v>
      </c>
      <c r="BK46" s="12" t="s">
        <v>43</v>
      </c>
      <c r="BL46" s="12" t="s">
        <v>43</v>
      </c>
      <c r="BM46" s="12" t="s">
        <v>43</v>
      </c>
      <c r="BN46" s="12" t="s">
        <v>43</v>
      </c>
      <c r="BO46" s="12" t="s">
        <v>43</v>
      </c>
      <c r="BP46" s="12" t="s">
        <v>43</v>
      </c>
      <c r="BQ46" s="12" t="s">
        <v>43</v>
      </c>
      <c r="BR46" s="12" t="s">
        <v>43</v>
      </c>
      <c r="BS46" s="12" t="s">
        <v>43</v>
      </c>
      <c r="BT46" s="12" t="s">
        <v>43</v>
      </c>
      <c r="BU46" s="12" t="s">
        <v>43</v>
      </c>
      <c r="BV46" s="12" t="s">
        <v>56</v>
      </c>
      <c r="BW46" s="12" t="s">
        <v>56</v>
      </c>
      <c r="BX46" s="12" t="s">
        <v>78</v>
      </c>
      <c r="BY46" s="12" t="s">
        <v>78</v>
      </c>
      <c r="BZ46" s="12" t="s">
        <v>43</v>
      </c>
      <c r="CA46" s="12" t="s">
        <v>43</v>
      </c>
      <c r="CB46" s="12" t="s">
        <v>43</v>
      </c>
      <c r="CC46" s="12" t="s">
        <v>43</v>
      </c>
      <c r="CD46" s="12" t="s">
        <v>43</v>
      </c>
      <c r="CE46" s="12" t="s">
        <v>56</v>
      </c>
      <c r="CF46" s="12" t="s">
        <v>56</v>
      </c>
      <c r="CG46" s="12" t="s">
        <v>43</v>
      </c>
      <c r="CH46" s="12" t="s">
        <v>43</v>
      </c>
      <c r="CI46" s="12" t="s">
        <v>43</v>
      </c>
      <c r="CJ46" s="12" t="s">
        <v>56</v>
      </c>
      <c r="CK46" s="12" t="s">
        <v>43</v>
      </c>
      <c r="CL46" s="12" t="s">
        <v>43</v>
      </c>
      <c r="CM46" s="12" t="s">
        <v>43</v>
      </c>
      <c r="CN46" s="12" t="s">
        <v>43</v>
      </c>
      <c r="CO46" s="12" t="s">
        <v>43</v>
      </c>
      <c r="CP46" s="12" t="s">
        <v>43</v>
      </c>
      <c r="CQ46" s="12" t="s">
        <v>43</v>
      </c>
      <c r="CR46" s="12" t="s">
        <v>43</v>
      </c>
      <c r="CS46" s="12" t="s">
        <v>43</v>
      </c>
      <c r="CT46" s="12" t="s">
        <v>43</v>
      </c>
      <c r="CU46" s="12" t="s">
        <v>43</v>
      </c>
      <c r="CV46" s="12" t="s">
        <v>43</v>
      </c>
      <c r="CW46" s="12" t="s">
        <v>56</v>
      </c>
      <c r="CX46" s="12" t="s">
        <v>56</v>
      </c>
      <c r="CY46" s="12" t="s">
        <v>43</v>
      </c>
      <c r="CZ46" s="12" t="s">
        <v>43</v>
      </c>
      <c r="DA46" s="12" t="s">
        <v>56</v>
      </c>
      <c r="DB46" s="12" t="s">
        <v>56</v>
      </c>
      <c r="DC46" s="12" t="s">
        <v>43</v>
      </c>
      <c r="DD46" s="12" t="s">
        <v>43</v>
      </c>
      <c r="DE46" s="12" t="s">
        <v>43</v>
      </c>
      <c r="DF46" s="12" t="s">
        <v>43</v>
      </c>
      <c r="DG46" s="12" t="s">
        <v>43</v>
      </c>
      <c r="DH46" s="12" t="s">
        <v>43</v>
      </c>
      <c r="DI46" s="12" t="s">
        <v>43</v>
      </c>
      <c r="DJ46" s="12" t="s">
        <v>43</v>
      </c>
      <c r="DK46" s="12" t="s">
        <v>43</v>
      </c>
      <c r="DL46" s="12" t="s">
        <v>43</v>
      </c>
      <c r="DM46" s="12" t="s">
        <v>43</v>
      </c>
      <c r="DN46" s="12" t="s">
        <v>43</v>
      </c>
      <c r="DO46" s="12" t="s">
        <v>56</v>
      </c>
      <c r="DP46" s="12" t="s">
        <v>56</v>
      </c>
      <c r="DQ46" s="12" t="s">
        <v>43</v>
      </c>
      <c r="DR46" s="12" t="s">
        <v>43</v>
      </c>
      <c r="DS46" s="12" t="s">
        <v>56</v>
      </c>
      <c r="DT46" s="12" t="s">
        <v>56</v>
      </c>
      <c r="DU46" s="12" t="s">
        <v>43</v>
      </c>
      <c r="DV46" s="12" t="s">
        <v>43</v>
      </c>
      <c r="DW46" s="12" t="s">
        <v>43</v>
      </c>
      <c r="DX46" s="3"/>
    </row>
    <row r="47" spans="1:130" s="25" customFormat="1" ht="24.6" customHeight="1">
      <c r="A47" s="65">
        <v>44</v>
      </c>
      <c r="B47" s="65" t="s">
        <v>234</v>
      </c>
      <c r="C47" s="45" t="s">
        <v>235</v>
      </c>
      <c r="D47" s="65" t="s">
        <v>237</v>
      </c>
      <c r="E47" s="70"/>
      <c r="F47" s="70"/>
      <c r="G47" s="65">
        <v>11</v>
      </c>
      <c r="H47" s="65" t="s">
        <v>236</v>
      </c>
      <c r="I47" s="29" t="s">
        <v>56</v>
      </c>
      <c r="J47" s="26">
        <v>1000000</v>
      </c>
      <c r="K47" s="65" t="s">
        <v>180</v>
      </c>
      <c r="L47" s="65" t="s">
        <v>180</v>
      </c>
      <c r="M47" s="65">
        <v>6</v>
      </c>
      <c r="N47" s="65" t="s">
        <v>43</v>
      </c>
      <c r="O47" s="65" t="s">
        <v>43</v>
      </c>
      <c r="P47" s="65" t="s">
        <v>56</v>
      </c>
      <c r="Q47" s="65" t="s">
        <v>56</v>
      </c>
      <c r="R47" s="65" t="s">
        <v>56</v>
      </c>
      <c r="S47" s="65" t="s">
        <v>56</v>
      </c>
      <c r="T47" s="65" t="s">
        <v>56</v>
      </c>
      <c r="U47" s="65" t="s">
        <v>56</v>
      </c>
      <c r="V47" s="65" t="s">
        <v>56</v>
      </c>
      <c r="W47" s="65" t="s">
        <v>56</v>
      </c>
      <c r="X47" s="65" t="s">
        <v>56</v>
      </c>
      <c r="Y47" s="65" t="s">
        <v>43</v>
      </c>
      <c r="Z47" s="65" t="s">
        <v>43</v>
      </c>
      <c r="AA47" s="65" t="s">
        <v>56</v>
      </c>
      <c r="AB47" s="65" t="s">
        <v>56</v>
      </c>
      <c r="AC47" s="65" t="s">
        <v>43</v>
      </c>
      <c r="AD47" s="65" t="s">
        <v>56</v>
      </c>
      <c r="AE47" s="65" t="s">
        <v>43</v>
      </c>
      <c r="AF47" s="65" t="s">
        <v>43</v>
      </c>
      <c r="AG47" s="65" t="s">
        <v>43</v>
      </c>
      <c r="AH47" s="65" t="s">
        <v>43</v>
      </c>
      <c r="AI47" s="65" t="s">
        <v>43</v>
      </c>
      <c r="AJ47" s="65" t="s">
        <v>43</v>
      </c>
      <c r="AK47" s="65" t="s">
        <v>43</v>
      </c>
      <c r="AL47" s="65" t="s">
        <v>43</v>
      </c>
      <c r="AM47" s="65" t="s">
        <v>43</v>
      </c>
      <c r="AN47" s="65" t="s">
        <v>43</v>
      </c>
      <c r="AO47" s="65" t="s">
        <v>43</v>
      </c>
      <c r="AP47" s="65" t="s">
        <v>43</v>
      </c>
      <c r="AQ47" s="65" t="s">
        <v>43</v>
      </c>
      <c r="AR47" s="65" t="s">
        <v>43</v>
      </c>
      <c r="AS47" s="65" t="s">
        <v>43</v>
      </c>
      <c r="AT47" s="65" t="s">
        <v>43</v>
      </c>
      <c r="AU47" s="65" t="s">
        <v>43</v>
      </c>
      <c r="AV47" s="65" t="s">
        <v>43</v>
      </c>
      <c r="AW47" s="65" t="s">
        <v>43</v>
      </c>
      <c r="AX47" s="65" t="s">
        <v>43</v>
      </c>
      <c r="AY47" s="65" t="s">
        <v>43</v>
      </c>
      <c r="AZ47" s="65" t="s">
        <v>43</v>
      </c>
      <c r="BA47" s="65" t="s">
        <v>43</v>
      </c>
      <c r="BB47" s="65" t="s">
        <v>43</v>
      </c>
      <c r="BC47" s="65" t="s">
        <v>43</v>
      </c>
      <c r="BD47" s="65" t="s">
        <v>43</v>
      </c>
      <c r="BE47" s="65" t="s">
        <v>43</v>
      </c>
      <c r="BF47" s="65" t="s">
        <v>43</v>
      </c>
      <c r="BG47" s="65" t="s">
        <v>43</v>
      </c>
      <c r="BH47" s="65" t="s">
        <v>43</v>
      </c>
      <c r="BI47" s="65" t="s">
        <v>56</v>
      </c>
      <c r="BJ47" s="65" t="s">
        <v>56</v>
      </c>
      <c r="BK47" s="65" t="s">
        <v>56</v>
      </c>
      <c r="BL47" s="65" t="s">
        <v>56</v>
      </c>
      <c r="BM47" s="65" t="s">
        <v>56</v>
      </c>
      <c r="BN47" s="65" t="s">
        <v>56</v>
      </c>
      <c r="BO47" s="65" t="s">
        <v>56</v>
      </c>
      <c r="BP47" s="65" t="s">
        <v>43</v>
      </c>
      <c r="BQ47" s="65" t="s">
        <v>43</v>
      </c>
      <c r="BR47" s="65" t="s">
        <v>43</v>
      </c>
      <c r="BS47" s="65" t="s">
        <v>43</v>
      </c>
      <c r="BT47" s="65" t="s">
        <v>43</v>
      </c>
      <c r="BU47" s="65" t="s">
        <v>43</v>
      </c>
      <c r="BV47" s="64" t="s">
        <v>43</v>
      </c>
      <c r="BW47" s="64" t="s">
        <v>43</v>
      </c>
      <c r="BX47" s="64" t="s">
        <v>43</v>
      </c>
      <c r="BY47" s="64" t="s">
        <v>43</v>
      </c>
      <c r="BZ47" s="64" t="s">
        <v>43</v>
      </c>
      <c r="CA47" s="64" t="s">
        <v>43</v>
      </c>
      <c r="CB47" s="64" t="s">
        <v>43</v>
      </c>
      <c r="CC47" s="64" t="s">
        <v>43</v>
      </c>
      <c r="CD47" s="64" t="s">
        <v>43</v>
      </c>
      <c r="CE47" s="64" t="s">
        <v>43</v>
      </c>
      <c r="CF47" s="64" t="s">
        <v>43</v>
      </c>
      <c r="CG47" s="64" t="s">
        <v>43</v>
      </c>
      <c r="CH47" s="64" t="s">
        <v>43</v>
      </c>
      <c r="CI47" s="64" t="s">
        <v>43</v>
      </c>
      <c r="CJ47" s="64" t="s">
        <v>43</v>
      </c>
      <c r="CK47" s="64" t="s">
        <v>43</v>
      </c>
      <c r="CL47" s="64" t="s">
        <v>43</v>
      </c>
      <c r="CM47" s="65" t="s">
        <v>43</v>
      </c>
      <c r="CN47" s="65" t="s">
        <v>43</v>
      </c>
      <c r="CO47" s="65" t="s">
        <v>43</v>
      </c>
      <c r="CP47" s="65" t="s">
        <v>43</v>
      </c>
      <c r="CQ47" s="65" t="s">
        <v>43</v>
      </c>
      <c r="CR47" s="65" t="s">
        <v>43</v>
      </c>
      <c r="CS47" s="65" t="s">
        <v>43</v>
      </c>
      <c r="CT47" s="63" t="s">
        <v>43</v>
      </c>
      <c r="CU47" s="65" t="s">
        <v>43</v>
      </c>
      <c r="CV47" s="65" t="s">
        <v>43</v>
      </c>
      <c r="CW47" s="65" t="s">
        <v>43</v>
      </c>
      <c r="CX47" s="65" t="s">
        <v>43</v>
      </c>
      <c r="CY47" s="65" t="s">
        <v>43</v>
      </c>
      <c r="CZ47" s="65" t="s">
        <v>43</v>
      </c>
      <c r="DA47" s="65" t="s">
        <v>43</v>
      </c>
      <c r="DB47" s="65" t="s">
        <v>43</v>
      </c>
      <c r="DC47" s="65" t="s">
        <v>43</v>
      </c>
      <c r="DD47" s="65" t="s">
        <v>43</v>
      </c>
      <c r="DE47" s="65" t="s">
        <v>43</v>
      </c>
      <c r="DF47" s="65" t="s">
        <v>43</v>
      </c>
      <c r="DG47" s="65" t="s">
        <v>43</v>
      </c>
      <c r="DH47" s="65" t="s">
        <v>43</v>
      </c>
      <c r="DI47" s="65" t="s">
        <v>43</v>
      </c>
      <c r="DJ47" s="65" t="s">
        <v>43</v>
      </c>
      <c r="DK47" s="65" t="s">
        <v>43</v>
      </c>
      <c r="DL47" s="65" t="s">
        <v>43</v>
      </c>
      <c r="DM47" s="65" t="s">
        <v>43</v>
      </c>
      <c r="DN47" s="65" t="s">
        <v>43</v>
      </c>
      <c r="DO47" s="65" t="s">
        <v>43</v>
      </c>
      <c r="DP47" s="65" t="s">
        <v>43</v>
      </c>
      <c r="DQ47" s="65" t="s">
        <v>43</v>
      </c>
      <c r="DR47" s="65" t="s">
        <v>43</v>
      </c>
      <c r="DS47" s="65" t="s">
        <v>43</v>
      </c>
      <c r="DT47" s="65" t="s">
        <v>43</v>
      </c>
      <c r="DU47" s="65" t="s">
        <v>43</v>
      </c>
      <c r="DV47" s="65" t="s">
        <v>43</v>
      </c>
      <c r="DW47" s="65" t="s">
        <v>43</v>
      </c>
      <c r="DX47" s="65" t="s">
        <v>36</v>
      </c>
      <c r="DY47" s="65"/>
      <c r="DZ47" s="65"/>
    </row>
    <row r="48" spans="1:130" s="25" customFormat="1" ht="24.6" customHeight="1">
      <c r="A48" s="66">
        <v>45</v>
      </c>
      <c r="B48" s="66" t="s">
        <v>238</v>
      </c>
      <c r="C48" s="45">
        <v>699936505</v>
      </c>
      <c r="D48" s="66" t="s">
        <v>239</v>
      </c>
      <c r="E48" s="70"/>
      <c r="F48" s="70"/>
      <c r="G48" s="66">
        <v>3</v>
      </c>
      <c r="H48" s="66"/>
      <c r="I48" s="66" t="s">
        <v>56</v>
      </c>
      <c r="J48" s="26"/>
      <c r="K48" s="66" t="s">
        <v>240</v>
      </c>
      <c r="L48" s="66" t="s">
        <v>240</v>
      </c>
      <c r="M48" s="66">
        <v>15</v>
      </c>
      <c r="N48" s="66" t="s">
        <v>43</v>
      </c>
      <c r="O48" s="66" t="s">
        <v>56</v>
      </c>
      <c r="P48" s="66" t="s">
        <v>56</v>
      </c>
      <c r="Q48" s="66" t="s">
        <v>56</v>
      </c>
      <c r="R48" s="66" t="s">
        <v>56</v>
      </c>
      <c r="S48" s="66" t="s">
        <v>56</v>
      </c>
      <c r="T48" s="66" t="s">
        <v>43</v>
      </c>
      <c r="U48" s="66" t="s">
        <v>43</v>
      </c>
      <c r="V48" s="66" t="s">
        <v>43</v>
      </c>
      <c r="W48" s="66" t="s">
        <v>43</v>
      </c>
      <c r="X48" s="66" t="s">
        <v>43</v>
      </c>
      <c r="Y48" s="66" t="s">
        <v>43</v>
      </c>
      <c r="Z48" s="66" t="s">
        <v>43</v>
      </c>
      <c r="AA48" s="66" t="s">
        <v>43</v>
      </c>
      <c r="AB48" s="66" t="s">
        <v>43</v>
      </c>
      <c r="AC48" s="66" t="s">
        <v>43</v>
      </c>
      <c r="AD48" s="66" t="s">
        <v>43</v>
      </c>
      <c r="AE48" s="66" t="s">
        <v>43</v>
      </c>
      <c r="AF48" s="66" t="s">
        <v>43</v>
      </c>
      <c r="AG48" s="66" t="s">
        <v>43</v>
      </c>
      <c r="AH48" s="66" t="s">
        <v>43</v>
      </c>
      <c r="AI48" s="66" t="s">
        <v>43</v>
      </c>
      <c r="AJ48" s="66" t="s">
        <v>43</v>
      </c>
      <c r="AK48" s="66" t="s">
        <v>43</v>
      </c>
      <c r="AL48" s="66" t="s">
        <v>43</v>
      </c>
      <c r="AM48" s="66" t="s">
        <v>43</v>
      </c>
      <c r="AN48" s="66" t="s">
        <v>56</v>
      </c>
      <c r="AO48" s="66" t="s">
        <v>56</v>
      </c>
      <c r="AP48" s="66" t="s">
        <v>56</v>
      </c>
      <c r="AQ48" s="66" t="s">
        <v>43</v>
      </c>
      <c r="AR48" s="66" t="s">
        <v>43</v>
      </c>
      <c r="AS48" s="66" t="s">
        <v>43</v>
      </c>
      <c r="AT48" s="66" t="s">
        <v>43</v>
      </c>
      <c r="AU48" s="66" t="s">
        <v>43</v>
      </c>
      <c r="AV48" s="66" t="s">
        <v>43</v>
      </c>
      <c r="AW48" s="66" t="s">
        <v>43</v>
      </c>
      <c r="AX48" s="66" t="s">
        <v>43</v>
      </c>
      <c r="AY48" s="66" t="s">
        <v>43</v>
      </c>
      <c r="AZ48" s="66" t="s">
        <v>43</v>
      </c>
      <c r="BA48" s="66" t="s">
        <v>43</v>
      </c>
      <c r="BB48" s="66" t="s">
        <v>43</v>
      </c>
      <c r="BC48" s="66" t="s">
        <v>43</v>
      </c>
      <c r="BD48" s="66" t="s">
        <v>56</v>
      </c>
      <c r="BE48" s="66" t="s">
        <v>56</v>
      </c>
      <c r="BF48" s="66" t="s">
        <v>56</v>
      </c>
      <c r="BG48" s="66" t="s">
        <v>56</v>
      </c>
      <c r="BH48" s="66" t="s">
        <v>56</v>
      </c>
      <c r="BI48" s="66" t="s">
        <v>56</v>
      </c>
      <c r="BJ48" s="66" t="s">
        <v>56</v>
      </c>
      <c r="BK48" s="66" t="s">
        <v>56</v>
      </c>
      <c r="BL48" s="66" t="s">
        <v>56</v>
      </c>
      <c r="BM48" s="66" t="s">
        <v>56</v>
      </c>
      <c r="BN48" s="66" t="s">
        <v>56</v>
      </c>
      <c r="BO48" s="66" t="s">
        <v>56</v>
      </c>
      <c r="BP48" s="66" t="s">
        <v>56</v>
      </c>
      <c r="BQ48" s="66" t="s">
        <v>56</v>
      </c>
      <c r="BR48" s="66" t="s">
        <v>56</v>
      </c>
      <c r="BS48" s="66" t="s">
        <v>56</v>
      </c>
      <c r="BT48" s="66" t="s">
        <v>56</v>
      </c>
      <c r="BU48" s="66" t="s">
        <v>56</v>
      </c>
      <c r="BV48" s="66" t="s">
        <v>56</v>
      </c>
      <c r="BW48" s="66" t="s">
        <v>56</v>
      </c>
      <c r="BX48" s="66" t="s">
        <v>56</v>
      </c>
      <c r="BY48" s="66" t="s">
        <v>56</v>
      </c>
      <c r="BZ48" s="66" t="s">
        <v>56</v>
      </c>
      <c r="CA48" s="66" t="s">
        <v>56</v>
      </c>
      <c r="CB48" s="66" t="s">
        <v>56</v>
      </c>
      <c r="CC48" s="66" t="s">
        <v>56</v>
      </c>
      <c r="CD48" s="66" t="s">
        <v>56</v>
      </c>
      <c r="CE48" s="66" t="s">
        <v>56</v>
      </c>
      <c r="CF48" s="66" t="s">
        <v>56</v>
      </c>
      <c r="CG48" s="66" t="s">
        <v>56</v>
      </c>
      <c r="CH48" s="66" t="s">
        <v>56</v>
      </c>
      <c r="CI48" s="66" t="s">
        <v>56</v>
      </c>
      <c r="CJ48" s="66" t="s">
        <v>56</v>
      </c>
      <c r="CK48" s="66" t="s">
        <v>56</v>
      </c>
      <c r="CL48" s="66" t="s">
        <v>56</v>
      </c>
      <c r="CM48" s="66" t="s">
        <v>56</v>
      </c>
      <c r="CN48" s="66" t="s">
        <v>56</v>
      </c>
      <c r="CO48" s="66" t="s">
        <v>56</v>
      </c>
      <c r="CP48" s="66" t="s">
        <v>56</v>
      </c>
      <c r="CQ48" s="66" t="s">
        <v>56</v>
      </c>
      <c r="CR48" s="66" t="s">
        <v>56</v>
      </c>
      <c r="CS48" s="66" t="s">
        <v>56</v>
      </c>
      <c r="CT48" s="66" t="s">
        <v>56</v>
      </c>
      <c r="CU48" s="66" t="s">
        <v>56</v>
      </c>
      <c r="CV48" s="66" t="s">
        <v>56</v>
      </c>
      <c r="CW48" s="66" t="s">
        <v>56</v>
      </c>
      <c r="CX48" s="66" t="s">
        <v>56</v>
      </c>
      <c r="CY48" s="66" t="s">
        <v>56</v>
      </c>
      <c r="CZ48" s="66" t="s">
        <v>56</v>
      </c>
      <c r="DA48" s="66" t="s">
        <v>56</v>
      </c>
      <c r="DB48" s="66" t="s">
        <v>56</v>
      </c>
      <c r="DC48" s="66" t="s">
        <v>56</v>
      </c>
      <c r="DD48" s="66" t="s">
        <v>56</v>
      </c>
      <c r="DE48" s="66" t="s">
        <v>56</v>
      </c>
      <c r="DF48" s="66" t="s">
        <v>56</v>
      </c>
      <c r="DG48" s="66" t="s">
        <v>56</v>
      </c>
      <c r="DH48" s="66" t="s">
        <v>56</v>
      </c>
      <c r="DI48" s="66" t="s">
        <v>56</v>
      </c>
      <c r="DJ48" s="66" t="s">
        <v>56</v>
      </c>
      <c r="DK48" s="66" t="s">
        <v>56</v>
      </c>
      <c r="DL48" s="66" t="s">
        <v>56</v>
      </c>
      <c r="DM48" s="66" t="s">
        <v>56</v>
      </c>
      <c r="DN48" s="66" t="s">
        <v>56</v>
      </c>
      <c r="DO48" s="66" t="s">
        <v>56</v>
      </c>
      <c r="DP48" s="66" t="s">
        <v>56</v>
      </c>
      <c r="DQ48" s="66" t="s">
        <v>56</v>
      </c>
      <c r="DR48" s="66" t="s">
        <v>56</v>
      </c>
      <c r="DS48" s="66" t="s">
        <v>56</v>
      </c>
      <c r="DT48" s="66" t="s">
        <v>56</v>
      </c>
      <c r="DU48" s="66" t="s">
        <v>56</v>
      </c>
      <c r="DV48" s="66" t="s">
        <v>56</v>
      </c>
      <c r="DW48" s="66" t="s">
        <v>56</v>
      </c>
      <c r="DX48" s="66"/>
    </row>
    <row r="49" spans="1:130" s="25" customFormat="1" ht="24.6" customHeight="1">
      <c r="A49" s="66">
        <v>46</v>
      </c>
      <c r="B49" s="66" t="s">
        <v>242</v>
      </c>
      <c r="C49" s="45" t="s">
        <v>241</v>
      </c>
      <c r="D49" s="25" t="s">
        <v>244</v>
      </c>
      <c r="E49" s="70"/>
      <c r="F49" s="70"/>
      <c r="G49" s="25">
        <v>16</v>
      </c>
      <c r="H49" s="25" t="s">
        <v>245</v>
      </c>
      <c r="I49" s="25" t="s">
        <v>56</v>
      </c>
      <c r="J49" s="26">
        <v>33000000</v>
      </c>
      <c r="K49" s="66" t="s">
        <v>180</v>
      </c>
      <c r="L49" s="25" t="s">
        <v>243</v>
      </c>
      <c r="M49" s="25">
        <v>5</v>
      </c>
      <c r="N49" s="25" t="s">
        <v>43</v>
      </c>
      <c r="O49" s="66" t="s">
        <v>56</v>
      </c>
      <c r="P49" s="66" t="s">
        <v>56</v>
      </c>
      <c r="Q49" s="66" t="s">
        <v>43</v>
      </c>
      <c r="R49" s="66" t="s">
        <v>56</v>
      </c>
      <c r="S49" s="25" t="s">
        <v>56</v>
      </c>
      <c r="T49" s="25" t="s">
        <v>56</v>
      </c>
      <c r="U49" s="66" t="s">
        <v>56</v>
      </c>
      <c r="V49" s="66" t="s">
        <v>56</v>
      </c>
      <c r="W49" s="66" t="s">
        <v>56</v>
      </c>
      <c r="X49" s="66" t="s">
        <v>56</v>
      </c>
      <c r="Y49" s="66" t="s">
        <v>56</v>
      </c>
      <c r="Z49" s="66" t="s">
        <v>56</v>
      </c>
      <c r="AA49" s="66" t="s">
        <v>56</v>
      </c>
      <c r="AB49" s="66" t="s">
        <v>56</v>
      </c>
      <c r="AC49" s="66" t="s">
        <v>56</v>
      </c>
      <c r="AD49" s="66" t="s">
        <v>56</v>
      </c>
      <c r="AE49" s="66" t="s">
        <v>56</v>
      </c>
      <c r="AF49" s="66" t="s">
        <v>56</v>
      </c>
      <c r="AG49" s="66" t="s">
        <v>56</v>
      </c>
      <c r="AH49" s="66" t="s">
        <v>56</v>
      </c>
      <c r="AI49" s="66" t="s">
        <v>56</v>
      </c>
      <c r="AJ49" s="66" t="s">
        <v>56</v>
      </c>
      <c r="AK49" s="66" t="s">
        <v>56</v>
      </c>
      <c r="AL49" s="66" t="s">
        <v>56</v>
      </c>
      <c r="AM49" s="66" t="s">
        <v>56</v>
      </c>
      <c r="AN49" s="66" t="s">
        <v>56</v>
      </c>
      <c r="AO49" s="66" t="s">
        <v>56</v>
      </c>
      <c r="AP49" s="66" t="s">
        <v>56</v>
      </c>
      <c r="AQ49" s="66" t="s">
        <v>56</v>
      </c>
      <c r="AR49" s="66" t="s">
        <v>56</v>
      </c>
      <c r="AS49" s="66" t="s">
        <v>56</v>
      </c>
      <c r="AT49" s="66" t="s">
        <v>56</v>
      </c>
      <c r="AU49" s="66" t="s">
        <v>56</v>
      </c>
      <c r="AV49" s="66" t="s">
        <v>56</v>
      </c>
      <c r="AW49" s="66" t="s">
        <v>56</v>
      </c>
      <c r="AX49" s="66" t="s">
        <v>56</v>
      </c>
      <c r="AY49" s="66" t="s">
        <v>56</v>
      </c>
      <c r="AZ49" s="66" t="s">
        <v>56</v>
      </c>
      <c r="BA49" s="66" t="s">
        <v>56</v>
      </c>
      <c r="BB49" s="66" t="s">
        <v>56</v>
      </c>
      <c r="BC49" s="66" t="s">
        <v>56</v>
      </c>
      <c r="BD49" s="66" t="s">
        <v>56</v>
      </c>
      <c r="BE49" s="66" t="s">
        <v>56</v>
      </c>
      <c r="BF49" s="66" t="s">
        <v>56</v>
      </c>
      <c r="BG49" s="66" t="s">
        <v>56</v>
      </c>
      <c r="BH49" s="66" t="s">
        <v>56</v>
      </c>
      <c r="BI49" s="66" t="s">
        <v>56</v>
      </c>
      <c r="BJ49" s="66" t="s">
        <v>56</v>
      </c>
      <c r="BK49" s="66" t="s">
        <v>56</v>
      </c>
      <c r="BL49" s="66" t="s">
        <v>56</v>
      </c>
      <c r="BM49" s="66" t="s">
        <v>56</v>
      </c>
      <c r="BN49" s="66" t="s">
        <v>56</v>
      </c>
      <c r="BO49" s="66" t="s">
        <v>56</v>
      </c>
      <c r="BP49" s="66" t="s">
        <v>56</v>
      </c>
      <c r="BQ49" s="66" t="s">
        <v>56</v>
      </c>
      <c r="BR49" s="66" t="s">
        <v>56</v>
      </c>
      <c r="BS49" s="66" t="s">
        <v>56</v>
      </c>
      <c r="BT49" s="66" t="s">
        <v>56</v>
      </c>
      <c r="BU49" s="66" t="s">
        <v>56</v>
      </c>
      <c r="BV49" s="66" t="s">
        <v>56</v>
      </c>
      <c r="BW49" s="66" t="s">
        <v>56</v>
      </c>
      <c r="BX49" s="66" t="s">
        <v>56</v>
      </c>
      <c r="BY49" s="66" t="s">
        <v>56</v>
      </c>
      <c r="BZ49" s="66" t="s">
        <v>56</v>
      </c>
      <c r="CA49" s="66" t="s">
        <v>56</v>
      </c>
      <c r="CB49" s="66" t="s">
        <v>56</v>
      </c>
      <c r="CC49" s="66" t="s">
        <v>56</v>
      </c>
      <c r="CD49" s="66" t="s">
        <v>56</v>
      </c>
      <c r="CE49" s="66" t="s">
        <v>56</v>
      </c>
      <c r="CF49" s="66" t="s">
        <v>56</v>
      </c>
      <c r="CG49" s="66" t="s">
        <v>56</v>
      </c>
      <c r="CH49" s="66" t="s">
        <v>56</v>
      </c>
      <c r="CI49" s="66" t="s">
        <v>56</v>
      </c>
      <c r="CJ49" s="66" t="s">
        <v>56</v>
      </c>
      <c r="CK49" s="66" t="s">
        <v>56</v>
      </c>
      <c r="CL49" s="66" t="s">
        <v>56</v>
      </c>
      <c r="CM49" s="66" t="s">
        <v>56</v>
      </c>
      <c r="CN49" s="25" t="s">
        <v>43</v>
      </c>
      <c r="CO49" s="66" t="s">
        <v>43</v>
      </c>
      <c r="CP49" s="66" t="s">
        <v>56</v>
      </c>
      <c r="CQ49" s="66" t="s">
        <v>56</v>
      </c>
      <c r="CR49" s="66" t="s">
        <v>56</v>
      </c>
      <c r="CS49" s="66" t="s">
        <v>43</v>
      </c>
      <c r="CT49" s="66" t="s">
        <v>43</v>
      </c>
      <c r="CU49" s="66" t="s">
        <v>56</v>
      </c>
      <c r="CV49" s="66" t="s">
        <v>56</v>
      </c>
      <c r="CW49" s="66" t="s">
        <v>56</v>
      </c>
      <c r="CX49" s="66" t="s">
        <v>43</v>
      </c>
      <c r="CY49" s="66" t="s">
        <v>43</v>
      </c>
      <c r="CZ49" s="66" t="s">
        <v>43</v>
      </c>
      <c r="DA49" s="66" t="s">
        <v>43</v>
      </c>
      <c r="DB49" s="66" t="s">
        <v>43</v>
      </c>
      <c r="DC49" s="66" t="s">
        <v>43</v>
      </c>
      <c r="DD49" s="66" t="s">
        <v>43</v>
      </c>
      <c r="DE49" s="66" t="s">
        <v>56</v>
      </c>
      <c r="DF49" s="66" t="s">
        <v>56</v>
      </c>
      <c r="DG49" s="66" t="s">
        <v>56</v>
      </c>
      <c r="DH49" s="66" t="s">
        <v>56</v>
      </c>
      <c r="DI49" s="66" t="s">
        <v>56</v>
      </c>
      <c r="DJ49" s="66" t="s">
        <v>43</v>
      </c>
      <c r="DK49" s="66" t="s">
        <v>43</v>
      </c>
      <c r="DL49" s="66" t="s">
        <v>43</v>
      </c>
      <c r="DM49" s="66" t="s">
        <v>56</v>
      </c>
      <c r="DN49" s="66" t="s">
        <v>43</v>
      </c>
      <c r="DO49" s="66" t="s">
        <v>43</v>
      </c>
      <c r="DP49" s="66" t="s">
        <v>43</v>
      </c>
      <c r="DQ49" s="66" t="s">
        <v>43</v>
      </c>
      <c r="DR49" s="66" t="s">
        <v>43</v>
      </c>
      <c r="DS49" s="66" t="s">
        <v>43</v>
      </c>
      <c r="DT49" s="66" t="s">
        <v>43</v>
      </c>
      <c r="DU49" s="66" t="s">
        <v>43</v>
      </c>
      <c r="DV49" s="66" t="s">
        <v>43</v>
      </c>
      <c r="DW49" s="66" t="s">
        <v>43</v>
      </c>
    </row>
    <row r="50" spans="1:130" s="25" customFormat="1" ht="24.6" customHeight="1">
      <c r="A50" s="70">
        <v>47</v>
      </c>
      <c r="B50" s="70" t="s">
        <v>246</v>
      </c>
      <c r="C50" s="45" t="s">
        <v>247</v>
      </c>
      <c r="D50" s="70" t="s">
        <v>250</v>
      </c>
      <c r="E50" s="70"/>
      <c r="F50" s="70"/>
      <c r="G50" s="70">
        <v>7</v>
      </c>
      <c r="H50" s="70" t="s">
        <v>248</v>
      </c>
      <c r="I50" s="70" t="s">
        <v>43</v>
      </c>
      <c r="J50" s="26">
        <v>2400000</v>
      </c>
      <c r="K50" s="70" t="s">
        <v>42</v>
      </c>
      <c r="L50" s="70" t="s">
        <v>249</v>
      </c>
      <c r="M50" s="70">
        <v>5</v>
      </c>
      <c r="N50" s="70" t="s">
        <v>43</v>
      </c>
      <c r="O50" s="70" t="s">
        <v>56</v>
      </c>
      <c r="P50" s="70" t="s">
        <v>56</v>
      </c>
      <c r="Q50" s="70" t="s">
        <v>43</v>
      </c>
      <c r="R50" s="70" t="s">
        <v>56</v>
      </c>
      <c r="S50" s="70" t="s">
        <v>56</v>
      </c>
      <c r="T50" s="70" t="s">
        <v>56</v>
      </c>
      <c r="U50" s="70" t="s">
        <v>56</v>
      </c>
      <c r="V50" s="70" t="s">
        <v>43</v>
      </c>
      <c r="W50" s="70" t="s">
        <v>56</v>
      </c>
      <c r="X50" s="70" t="s">
        <v>56</v>
      </c>
      <c r="Y50" s="70" t="s">
        <v>43</v>
      </c>
      <c r="Z50" s="70" t="s">
        <v>43</v>
      </c>
      <c r="AA50" s="70" t="s">
        <v>43</v>
      </c>
      <c r="AB50" s="70" t="s">
        <v>43</v>
      </c>
      <c r="AC50" s="70" t="s">
        <v>43</v>
      </c>
      <c r="AD50" s="70" t="s">
        <v>43</v>
      </c>
      <c r="AE50" s="70" t="s">
        <v>43</v>
      </c>
      <c r="AF50" s="70" t="s">
        <v>43</v>
      </c>
      <c r="AG50" s="70" t="s">
        <v>43</v>
      </c>
      <c r="AH50" s="70" t="s">
        <v>43</v>
      </c>
      <c r="AI50" s="70" t="s">
        <v>43</v>
      </c>
      <c r="AJ50" s="70" t="s">
        <v>43</v>
      </c>
      <c r="AK50" s="70" t="s">
        <v>43</v>
      </c>
      <c r="AL50" s="70" t="s">
        <v>43</v>
      </c>
      <c r="AM50" s="70" t="s">
        <v>43</v>
      </c>
      <c r="AN50" s="70" t="s">
        <v>43</v>
      </c>
      <c r="AO50" s="70" t="s">
        <v>43</v>
      </c>
      <c r="AP50" s="70" t="s">
        <v>43</v>
      </c>
      <c r="AQ50" s="70" t="s">
        <v>56</v>
      </c>
      <c r="AR50" s="70" t="s">
        <v>56</v>
      </c>
      <c r="AS50" s="70" t="s">
        <v>56</v>
      </c>
      <c r="AT50" s="70" t="s">
        <v>56</v>
      </c>
      <c r="AU50" s="70" t="s">
        <v>56</v>
      </c>
      <c r="AV50" s="70" t="s">
        <v>56</v>
      </c>
      <c r="AW50" s="70" t="s">
        <v>56</v>
      </c>
      <c r="AX50" s="70" t="s">
        <v>56</v>
      </c>
      <c r="AY50" s="70" t="s">
        <v>56</v>
      </c>
      <c r="AZ50" s="70" t="s">
        <v>56</v>
      </c>
      <c r="BA50" s="70" t="s">
        <v>56</v>
      </c>
      <c r="BB50" s="70" t="s">
        <v>56</v>
      </c>
      <c r="BC50" s="70" t="s">
        <v>56</v>
      </c>
      <c r="BD50" s="70" t="s">
        <v>56</v>
      </c>
      <c r="BE50" s="70" t="s">
        <v>56</v>
      </c>
      <c r="BF50" s="70" t="s">
        <v>56</v>
      </c>
      <c r="BG50" s="70" t="s">
        <v>56</v>
      </c>
      <c r="BH50" s="70" t="s">
        <v>56</v>
      </c>
      <c r="BI50" s="70" t="s">
        <v>56</v>
      </c>
      <c r="BJ50" s="70" t="s">
        <v>56</v>
      </c>
      <c r="BK50" s="70" t="s">
        <v>56</v>
      </c>
      <c r="BL50" s="70" t="s">
        <v>56</v>
      </c>
      <c r="BM50" s="70" t="s">
        <v>56</v>
      </c>
      <c r="BN50" s="70" t="s">
        <v>56</v>
      </c>
      <c r="BO50" s="70" t="s">
        <v>56</v>
      </c>
      <c r="BP50" s="70" t="s">
        <v>56</v>
      </c>
      <c r="BQ50" s="70" t="s">
        <v>56</v>
      </c>
      <c r="BR50" s="70" t="s">
        <v>56</v>
      </c>
      <c r="BS50" s="70" t="s">
        <v>56</v>
      </c>
      <c r="BT50" s="70" t="s">
        <v>56</v>
      </c>
      <c r="BU50" s="70" t="s">
        <v>56</v>
      </c>
      <c r="BV50" s="69" t="s">
        <v>56</v>
      </c>
      <c r="BW50" s="69" t="s">
        <v>56</v>
      </c>
      <c r="BX50" s="69" t="s">
        <v>56</v>
      </c>
      <c r="BY50" s="69" t="s">
        <v>56</v>
      </c>
      <c r="BZ50" s="69" t="s">
        <v>56</v>
      </c>
      <c r="CA50" s="69" t="s">
        <v>56</v>
      </c>
      <c r="CB50" s="69" t="s">
        <v>56</v>
      </c>
      <c r="CC50" s="69" t="s">
        <v>56</v>
      </c>
      <c r="CD50" s="69" t="s">
        <v>43</v>
      </c>
      <c r="CE50" s="69" t="s">
        <v>43</v>
      </c>
      <c r="CF50" s="69" t="s">
        <v>56</v>
      </c>
      <c r="CG50" s="69" t="s">
        <v>43</v>
      </c>
      <c r="CH50" s="69" t="s">
        <v>43</v>
      </c>
      <c r="CI50" s="69" t="s">
        <v>43</v>
      </c>
      <c r="CJ50" s="69" t="s">
        <v>43</v>
      </c>
      <c r="CK50" s="69" t="s">
        <v>43</v>
      </c>
      <c r="CL50" s="69" t="s">
        <v>43</v>
      </c>
      <c r="CM50" s="70" t="s">
        <v>43</v>
      </c>
      <c r="CN50" s="70" t="s">
        <v>43</v>
      </c>
      <c r="CO50" s="70" t="s">
        <v>43</v>
      </c>
      <c r="CP50" s="70" t="s">
        <v>43</v>
      </c>
      <c r="CQ50" s="70" t="s">
        <v>43</v>
      </c>
      <c r="CR50" s="70" t="s">
        <v>43</v>
      </c>
      <c r="CS50" s="70" t="s">
        <v>43</v>
      </c>
      <c r="CT50" s="68" t="s">
        <v>43</v>
      </c>
      <c r="CU50" s="70" t="s">
        <v>43</v>
      </c>
      <c r="CV50" s="70" t="s">
        <v>56</v>
      </c>
      <c r="CW50" s="70" t="s">
        <v>56</v>
      </c>
      <c r="CX50" s="70" t="s">
        <v>56</v>
      </c>
      <c r="CY50" s="70" t="s">
        <v>56</v>
      </c>
      <c r="CZ50" s="70" t="s">
        <v>56</v>
      </c>
      <c r="DA50" s="70" t="s">
        <v>56</v>
      </c>
      <c r="DB50" s="70" t="s">
        <v>56</v>
      </c>
      <c r="DC50" s="70" t="s">
        <v>56</v>
      </c>
      <c r="DD50" s="70" t="s">
        <v>56</v>
      </c>
      <c r="DE50" s="70" t="s">
        <v>56</v>
      </c>
      <c r="DF50" s="70" t="s">
        <v>56</v>
      </c>
      <c r="DG50" s="70" t="s">
        <v>56</v>
      </c>
      <c r="DH50" s="70" t="s">
        <v>56</v>
      </c>
      <c r="DI50" s="70" t="s">
        <v>56</v>
      </c>
      <c r="DJ50" s="70" t="s">
        <v>56</v>
      </c>
      <c r="DK50" s="70" t="s">
        <v>56</v>
      </c>
      <c r="DL50" s="70" t="s">
        <v>56</v>
      </c>
      <c r="DM50" s="70" t="s">
        <v>56</v>
      </c>
      <c r="DN50" s="70" t="s">
        <v>56</v>
      </c>
      <c r="DO50" s="70" t="s">
        <v>56</v>
      </c>
      <c r="DP50" s="70" t="s">
        <v>56</v>
      </c>
      <c r="DQ50" s="70" t="s">
        <v>56</v>
      </c>
      <c r="DR50" s="70" t="s">
        <v>56</v>
      </c>
      <c r="DS50" s="70" t="s">
        <v>56</v>
      </c>
      <c r="DT50" s="70" t="s">
        <v>56</v>
      </c>
      <c r="DU50" s="70" t="s">
        <v>56</v>
      </c>
      <c r="DV50" s="70" t="s">
        <v>56</v>
      </c>
      <c r="DW50" s="70" t="s">
        <v>56</v>
      </c>
      <c r="DX50" s="70" t="s">
        <v>36</v>
      </c>
      <c r="DY50" s="70"/>
      <c r="DZ50" s="70"/>
    </row>
    <row r="51" spans="1:130" s="25" customFormat="1" ht="24.6" customHeight="1">
      <c r="A51" s="70">
        <v>48</v>
      </c>
      <c r="B51" s="70" t="s">
        <v>252</v>
      </c>
      <c r="C51" s="67">
        <v>690777710</v>
      </c>
      <c r="D51" s="25" t="s">
        <v>253</v>
      </c>
      <c r="E51" s="70"/>
      <c r="F51" s="70"/>
      <c r="G51" s="25">
        <v>12</v>
      </c>
      <c r="H51" s="25" t="s">
        <v>255</v>
      </c>
      <c r="I51" s="25" t="s">
        <v>56</v>
      </c>
      <c r="J51" s="26">
        <v>7000000</v>
      </c>
      <c r="K51" s="70" t="s">
        <v>240</v>
      </c>
      <c r="L51" s="70" t="s">
        <v>254</v>
      </c>
      <c r="M51" s="25">
        <v>11</v>
      </c>
      <c r="N51" s="25" t="s">
        <v>43</v>
      </c>
      <c r="O51" s="70" t="s">
        <v>56</v>
      </c>
      <c r="P51" s="70" t="s">
        <v>56</v>
      </c>
      <c r="Q51" s="70" t="s">
        <v>56</v>
      </c>
      <c r="R51" s="70" t="s">
        <v>56</v>
      </c>
      <c r="S51" s="70" t="s">
        <v>56</v>
      </c>
      <c r="T51" s="25" t="s">
        <v>56</v>
      </c>
      <c r="U51" s="70" t="s">
        <v>56</v>
      </c>
      <c r="V51" s="70" t="s">
        <v>56</v>
      </c>
      <c r="W51" s="70" t="s">
        <v>56</v>
      </c>
      <c r="X51" s="70" t="s">
        <v>56</v>
      </c>
      <c r="Y51" s="70" t="s">
        <v>56</v>
      </c>
      <c r="Z51" s="70" t="s">
        <v>56</v>
      </c>
      <c r="AA51" s="70" t="s">
        <v>56</v>
      </c>
      <c r="AB51" s="70" t="s">
        <v>56</v>
      </c>
      <c r="AC51" s="70" t="s">
        <v>56</v>
      </c>
      <c r="AD51" s="70" t="s">
        <v>56</v>
      </c>
      <c r="AE51" s="70" t="s">
        <v>56</v>
      </c>
      <c r="AF51" s="70" t="s">
        <v>56</v>
      </c>
      <c r="AG51" s="70" t="s">
        <v>56</v>
      </c>
      <c r="AH51" s="70" t="s">
        <v>56</v>
      </c>
      <c r="AI51" s="70" t="s">
        <v>56</v>
      </c>
      <c r="AJ51" s="70" t="s">
        <v>56</v>
      </c>
      <c r="AK51" s="70" t="s">
        <v>56</v>
      </c>
      <c r="AL51" s="70" t="s">
        <v>56</v>
      </c>
      <c r="AM51" s="70" t="s">
        <v>56</v>
      </c>
      <c r="AN51" s="70" t="s">
        <v>56</v>
      </c>
      <c r="AO51" s="70" t="s">
        <v>56</v>
      </c>
      <c r="AP51" s="70" t="s">
        <v>56</v>
      </c>
      <c r="AQ51" s="70" t="s">
        <v>56</v>
      </c>
      <c r="AR51" s="70" t="s">
        <v>56</v>
      </c>
      <c r="AS51" s="70" t="s">
        <v>56</v>
      </c>
      <c r="AT51" s="70" t="s">
        <v>56</v>
      </c>
      <c r="AU51" s="70" t="s">
        <v>56</v>
      </c>
      <c r="AV51" s="70" t="s">
        <v>56</v>
      </c>
      <c r="AW51" s="70" t="s">
        <v>56</v>
      </c>
      <c r="AX51" s="70" t="s">
        <v>56</v>
      </c>
      <c r="AY51" s="70" t="s">
        <v>56</v>
      </c>
      <c r="AZ51" s="70" t="s">
        <v>56</v>
      </c>
      <c r="BA51" s="70" t="s">
        <v>56</v>
      </c>
      <c r="BB51" s="70" t="s">
        <v>56</v>
      </c>
      <c r="BC51" s="70" t="s">
        <v>56</v>
      </c>
      <c r="BD51" s="70" t="s">
        <v>56</v>
      </c>
      <c r="BE51" s="70" t="s">
        <v>56</v>
      </c>
      <c r="BF51" s="70" t="s">
        <v>56</v>
      </c>
      <c r="BG51" s="70" t="s">
        <v>56</v>
      </c>
      <c r="BH51" s="70" t="s">
        <v>56</v>
      </c>
      <c r="BI51" s="70" t="s">
        <v>56</v>
      </c>
      <c r="BJ51" s="70" t="s">
        <v>56</v>
      </c>
      <c r="BK51" s="70" t="s">
        <v>56</v>
      </c>
      <c r="BL51" s="70" t="s">
        <v>56</v>
      </c>
      <c r="BM51" s="70" t="s">
        <v>56</v>
      </c>
      <c r="BN51" s="70" t="s">
        <v>56</v>
      </c>
      <c r="BO51" s="70" t="s">
        <v>56</v>
      </c>
      <c r="BP51" s="70" t="s">
        <v>56</v>
      </c>
      <c r="BQ51" s="70" t="s">
        <v>56</v>
      </c>
      <c r="BR51" s="70" t="s">
        <v>56</v>
      </c>
      <c r="BS51" s="70" t="s">
        <v>56</v>
      </c>
      <c r="BT51" s="70" t="s">
        <v>56</v>
      </c>
      <c r="BU51" s="70" t="s">
        <v>56</v>
      </c>
      <c r="BV51" s="70" t="s">
        <v>56</v>
      </c>
      <c r="BW51" s="70" t="s">
        <v>56</v>
      </c>
      <c r="BX51" s="70" t="s">
        <v>56</v>
      </c>
      <c r="BY51" s="70" t="s">
        <v>56</v>
      </c>
      <c r="BZ51" s="70" t="s">
        <v>56</v>
      </c>
      <c r="CA51" s="70" t="s">
        <v>56</v>
      </c>
      <c r="CB51" s="70" t="s">
        <v>56</v>
      </c>
      <c r="CC51" s="70" t="s">
        <v>56</v>
      </c>
      <c r="CD51" s="70" t="s">
        <v>56</v>
      </c>
      <c r="CE51" s="70" t="s">
        <v>56</v>
      </c>
      <c r="CF51" s="70" t="s">
        <v>56</v>
      </c>
      <c r="CG51" s="70" t="s">
        <v>56</v>
      </c>
      <c r="CH51" s="70" t="s">
        <v>56</v>
      </c>
      <c r="CI51" s="70" t="s">
        <v>56</v>
      </c>
      <c r="CJ51" s="70" t="s">
        <v>56</v>
      </c>
      <c r="CK51" s="70" t="s">
        <v>56</v>
      </c>
      <c r="CL51" s="70" t="s">
        <v>56</v>
      </c>
      <c r="CM51" s="70" t="s">
        <v>56</v>
      </c>
      <c r="CN51" s="25" t="s">
        <v>43</v>
      </c>
      <c r="CO51" s="70" t="s">
        <v>43</v>
      </c>
      <c r="CP51" s="70" t="s">
        <v>43</v>
      </c>
      <c r="CQ51" s="70" t="s">
        <v>43</v>
      </c>
      <c r="CR51" s="70" t="s">
        <v>43</v>
      </c>
      <c r="CS51" s="70" t="s">
        <v>43</v>
      </c>
      <c r="CT51" s="70" t="s">
        <v>43</v>
      </c>
      <c r="CU51" s="70" t="s">
        <v>56</v>
      </c>
      <c r="CV51" s="70" t="s">
        <v>56</v>
      </c>
      <c r="CW51" s="70" t="s">
        <v>56</v>
      </c>
      <c r="CX51" s="70" t="s">
        <v>56</v>
      </c>
      <c r="CY51" s="70" t="s">
        <v>56</v>
      </c>
      <c r="CZ51" s="70" t="s">
        <v>43</v>
      </c>
      <c r="DA51" s="70" t="s">
        <v>43</v>
      </c>
      <c r="DB51" s="70" t="s">
        <v>43</v>
      </c>
      <c r="DC51" s="70" t="s">
        <v>43</v>
      </c>
      <c r="DD51" s="70" t="s">
        <v>43</v>
      </c>
      <c r="DE51" s="70" t="s">
        <v>43</v>
      </c>
      <c r="DF51" s="70" t="s">
        <v>43</v>
      </c>
      <c r="DG51" s="70" t="s">
        <v>43</v>
      </c>
      <c r="DH51" s="70" t="s">
        <v>43</v>
      </c>
      <c r="DI51" s="70" t="s">
        <v>43</v>
      </c>
      <c r="DJ51" s="70" t="s">
        <v>43</v>
      </c>
      <c r="DK51" s="70" t="s">
        <v>43</v>
      </c>
      <c r="DL51" s="70" t="s">
        <v>43</v>
      </c>
      <c r="DM51" s="70" t="s">
        <v>56</v>
      </c>
      <c r="DN51" s="70" t="s">
        <v>56</v>
      </c>
      <c r="DO51" s="70" t="s">
        <v>56</v>
      </c>
      <c r="DP51" s="70" t="s">
        <v>56</v>
      </c>
      <c r="DQ51" s="70" t="s">
        <v>43</v>
      </c>
      <c r="DR51" s="70" t="s">
        <v>43</v>
      </c>
      <c r="DS51" s="70" t="s">
        <v>43</v>
      </c>
      <c r="DT51" s="70" t="s">
        <v>43</v>
      </c>
      <c r="DU51" s="70" t="s">
        <v>43</v>
      </c>
      <c r="DV51" s="70" t="s">
        <v>43</v>
      </c>
      <c r="DW51" s="70" t="s">
        <v>43</v>
      </c>
    </row>
    <row r="52" spans="1:130" s="25" customFormat="1" ht="24.6" customHeight="1">
      <c r="C52" s="45"/>
      <c r="D52" s="25" t="s">
        <v>256</v>
      </c>
      <c r="E52" s="70"/>
      <c r="F52" s="70"/>
      <c r="H52" s="26" t="s">
        <v>257</v>
      </c>
      <c r="I52" s="25" t="s">
        <v>56</v>
      </c>
      <c r="K52" s="70" t="s">
        <v>168</v>
      </c>
      <c r="L52" s="70" t="s">
        <v>168</v>
      </c>
      <c r="M52" s="25">
        <v>15</v>
      </c>
      <c r="N52" s="70" t="s">
        <v>43</v>
      </c>
      <c r="O52" s="70" t="s">
        <v>56</v>
      </c>
      <c r="P52" s="70" t="s">
        <v>56</v>
      </c>
      <c r="Q52" s="70" t="s">
        <v>56</v>
      </c>
      <c r="R52" s="70" t="s">
        <v>56</v>
      </c>
      <c r="S52" s="25" t="s">
        <v>56</v>
      </c>
      <c r="T52" s="25" t="s">
        <v>56</v>
      </c>
      <c r="U52" s="70" t="s">
        <v>56</v>
      </c>
      <c r="V52" s="70" t="s">
        <v>56</v>
      </c>
      <c r="W52" s="70" t="s">
        <v>56</v>
      </c>
      <c r="X52" s="70" t="s">
        <v>56</v>
      </c>
      <c r="Y52" s="70" t="s">
        <v>56</v>
      </c>
      <c r="Z52" s="70" t="s">
        <v>56</v>
      </c>
      <c r="AA52" s="70" t="s">
        <v>56</v>
      </c>
      <c r="AB52" s="70" t="s">
        <v>56</v>
      </c>
      <c r="AC52" s="70" t="s">
        <v>56</v>
      </c>
      <c r="AD52" s="70" t="s">
        <v>56</v>
      </c>
      <c r="AE52" s="70" t="s">
        <v>56</v>
      </c>
      <c r="AF52" s="70" t="s">
        <v>56</v>
      </c>
      <c r="AG52" s="70" t="s">
        <v>56</v>
      </c>
      <c r="AH52" s="70" t="s">
        <v>56</v>
      </c>
      <c r="AI52" s="70" t="s">
        <v>56</v>
      </c>
      <c r="AJ52" s="70" t="s">
        <v>56</v>
      </c>
      <c r="AK52" s="70" t="s">
        <v>56</v>
      </c>
      <c r="AL52" s="70" t="s">
        <v>56</v>
      </c>
      <c r="AM52" s="70" t="s">
        <v>56</v>
      </c>
      <c r="AN52" s="70" t="s">
        <v>56</v>
      </c>
      <c r="AO52" s="70" t="s">
        <v>56</v>
      </c>
      <c r="AP52" s="70" t="s">
        <v>56</v>
      </c>
      <c r="AQ52" s="70" t="s">
        <v>56</v>
      </c>
      <c r="AR52" s="70" t="s">
        <v>56</v>
      </c>
      <c r="AS52" s="70" t="s">
        <v>56</v>
      </c>
      <c r="AT52" s="70" t="s">
        <v>56</v>
      </c>
      <c r="AU52" s="70" t="s">
        <v>56</v>
      </c>
      <c r="AV52" s="70" t="s">
        <v>56</v>
      </c>
      <c r="AW52" s="70" t="s">
        <v>56</v>
      </c>
      <c r="AX52" s="70" t="s">
        <v>56</v>
      </c>
      <c r="AY52" s="70" t="s">
        <v>56</v>
      </c>
      <c r="AZ52" s="70" t="s">
        <v>56</v>
      </c>
      <c r="BA52" s="70" t="s">
        <v>56</v>
      </c>
      <c r="BB52" s="70" t="s">
        <v>56</v>
      </c>
      <c r="BC52" s="70" t="s">
        <v>56</v>
      </c>
      <c r="BD52" s="70" t="s">
        <v>56</v>
      </c>
      <c r="BE52" s="70" t="s">
        <v>56</v>
      </c>
      <c r="BF52" s="70" t="s">
        <v>56</v>
      </c>
      <c r="BG52" s="70" t="s">
        <v>56</v>
      </c>
      <c r="BH52" s="70" t="s">
        <v>56</v>
      </c>
      <c r="BI52" s="70" t="s">
        <v>56</v>
      </c>
      <c r="BJ52" s="70" t="s">
        <v>56</v>
      </c>
      <c r="BK52" s="70" t="s">
        <v>56</v>
      </c>
      <c r="BL52" s="70" t="s">
        <v>56</v>
      </c>
      <c r="BM52" s="70" t="s">
        <v>56</v>
      </c>
      <c r="BN52" s="70" t="s">
        <v>56</v>
      </c>
      <c r="BO52" s="70" t="s">
        <v>56</v>
      </c>
      <c r="BP52" s="70" t="s">
        <v>56</v>
      </c>
      <c r="BQ52" s="70" t="s">
        <v>56</v>
      </c>
      <c r="BR52" s="70" t="s">
        <v>56</v>
      </c>
      <c r="BS52" s="70" t="s">
        <v>56</v>
      </c>
      <c r="BT52" s="70" t="s">
        <v>56</v>
      </c>
      <c r="BU52" s="70" t="s">
        <v>56</v>
      </c>
      <c r="BV52" s="70" t="s">
        <v>56</v>
      </c>
      <c r="BW52" s="70" t="s">
        <v>56</v>
      </c>
      <c r="BX52" s="70" t="s">
        <v>56</v>
      </c>
      <c r="BY52" s="70" t="s">
        <v>56</v>
      </c>
      <c r="BZ52" s="70" t="s">
        <v>56</v>
      </c>
      <c r="CA52" s="70" t="s">
        <v>56</v>
      </c>
      <c r="CB52" s="70" t="s">
        <v>56</v>
      </c>
      <c r="CC52" s="70" t="s">
        <v>56</v>
      </c>
      <c r="CD52" s="70" t="s">
        <v>56</v>
      </c>
      <c r="CE52" s="70" t="s">
        <v>56</v>
      </c>
      <c r="CF52" s="70" t="s">
        <v>56</v>
      </c>
      <c r="CG52" s="70" t="s">
        <v>56</v>
      </c>
      <c r="CH52" s="70" t="s">
        <v>56</v>
      </c>
      <c r="CI52" s="70" t="s">
        <v>56</v>
      </c>
      <c r="CJ52" s="70" t="s">
        <v>56</v>
      </c>
      <c r="CK52" s="70" t="s">
        <v>56</v>
      </c>
      <c r="CL52" s="70" t="s">
        <v>56</v>
      </c>
      <c r="CM52" s="70" t="s">
        <v>56</v>
      </c>
      <c r="CN52" s="70" t="s">
        <v>56</v>
      </c>
      <c r="CO52" s="70" t="s">
        <v>56</v>
      </c>
      <c r="CP52" s="70" t="s">
        <v>56</v>
      </c>
      <c r="CQ52" s="25" t="s">
        <v>43</v>
      </c>
      <c r="CR52" s="70" t="s">
        <v>43</v>
      </c>
      <c r="CS52" s="70" t="s">
        <v>43</v>
      </c>
      <c r="CT52" s="70" t="s">
        <v>43</v>
      </c>
      <c r="CU52" s="70" t="s">
        <v>43</v>
      </c>
      <c r="CV52" s="70" t="s">
        <v>43</v>
      </c>
      <c r="CW52" s="70" t="s">
        <v>43</v>
      </c>
      <c r="CX52" s="70" t="s">
        <v>43</v>
      </c>
      <c r="CY52" s="70" t="s">
        <v>43</v>
      </c>
      <c r="CZ52" s="70" t="s">
        <v>43</v>
      </c>
      <c r="DA52" s="70" t="s">
        <v>43</v>
      </c>
      <c r="DB52" s="70" t="s">
        <v>43</v>
      </c>
      <c r="DC52" s="70" t="s">
        <v>43</v>
      </c>
      <c r="DD52" s="70" t="s">
        <v>43</v>
      </c>
      <c r="DE52" s="70" t="s">
        <v>43</v>
      </c>
      <c r="DF52" s="70" t="s">
        <v>43</v>
      </c>
      <c r="DG52" s="70" t="s">
        <v>43</v>
      </c>
      <c r="DH52" s="70" t="s">
        <v>43</v>
      </c>
      <c r="DI52" s="70" t="s">
        <v>43</v>
      </c>
      <c r="DJ52" s="70" t="s">
        <v>43</v>
      </c>
      <c r="DK52" s="70" t="s">
        <v>43</v>
      </c>
      <c r="DL52" s="70" t="s">
        <v>43</v>
      </c>
      <c r="DM52" s="70" t="s">
        <v>43</v>
      </c>
      <c r="DN52" s="70" t="s">
        <v>43</v>
      </c>
      <c r="DO52" s="70" t="s">
        <v>43</v>
      </c>
      <c r="DP52" s="70" t="s">
        <v>43</v>
      </c>
      <c r="DQ52" s="70" t="s">
        <v>43</v>
      </c>
      <c r="DR52" s="70" t="s">
        <v>43</v>
      </c>
      <c r="DS52" s="70" t="s">
        <v>43</v>
      </c>
      <c r="DT52" s="70" t="s">
        <v>43</v>
      </c>
      <c r="DU52" s="70" t="s">
        <v>43</v>
      </c>
      <c r="DV52" s="70" t="s">
        <v>43</v>
      </c>
      <c r="DW52" s="70" t="s">
        <v>43</v>
      </c>
    </row>
    <row r="53" spans="1:130" s="25" customFormat="1" ht="24.6" customHeight="1">
      <c r="C53" s="45"/>
      <c r="E53" s="70"/>
      <c r="F53" s="70"/>
      <c r="I53" s="25" t="s">
        <v>56</v>
      </c>
      <c r="J53" s="26"/>
      <c r="BV53" s="12"/>
      <c r="BW53" s="12"/>
      <c r="BX53" s="12"/>
      <c r="BY53" s="12"/>
      <c r="BZ53" s="12"/>
      <c r="CA53" s="12"/>
      <c r="CB53" s="12"/>
      <c r="CC53" s="12"/>
      <c r="CD53" s="12"/>
      <c r="CE53" s="12"/>
      <c r="CF53" s="12"/>
      <c r="CG53" s="12"/>
      <c r="CH53" s="12"/>
      <c r="CI53" s="12"/>
      <c r="CJ53" s="12"/>
      <c r="CK53" s="12"/>
      <c r="CL53" s="12"/>
      <c r="CT53" s="3"/>
    </row>
    <row r="54" spans="1:130" s="25" customFormat="1" ht="24.6" customHeight="1">
      <c r="C54" s="45"/>
      <c r="E54" s="70"/>
      <c r="F54" s="70"/>
      <c r="I54" s="25" t="s">
        <v>56</v>
      </c>
      <c r="J54" s="26"/>
      <c r="BV54" s="12"/>
      <c r="BW54" s="12"/>
      <c r="BX54" s="12"/>
      <c r="BY54" s="12"/>
      <c r="BZ54" s="12"/>
      <c r="CA54" s="12"/>
      <c r="CB54" s="12"/>
      <c r="CC54" s="12"/>
      <c r="CD54" s="12"/>
      <c r="CE54" s="12"/>
      <c r="CF54" s="12"/>
      <c r="CG54" s="12"/>
      <c r="CH54" s="12"/>
      <c r="CI54" s="12"/>
      <c r="CJ54" s="12"/>
      <c r="CK54" s="12"/>
      <c r="CL54" s="12"/>
      <c r="CT54" s="3"/>
    </row>
    <row r="55" spans="1:130" s="25" customFormat="1" ht="24.6" hidden="1" customHeight="1">
      <c r="C55" s="45"/>
      <c r="E55" s="70"/>
      <c r="F55" s="70"/>
      <c r="I55" s="25" t="s">
        <v>56</v>
      </c>
      <c r="J55" s="26"/>
      <c r="BV55" s="12"/>
      <c r="BW55" s="12"/>
      <c r="BX55" s="12"/>
      <c r="BY55" s="12"/>
      <c r="BZ55" s="12"/>
      <c r="CA55" s="12"/>
      <c r="CB55" s="12"/>
      <c r="CC55" s="12"/>
      <c r="CD55" s="12"/>
      <c r="CE55" s="12"/>
      <c r="CF55" s="12"/>
      <c r="CG55" s="12"/>
      <c r="CH55" s="12"/>
      <c r="CI55" s="12"/>
      <c r="CJ55" s="12"/>
      <c r="CK55" s="12"/>
      <c r="CL55" s="12"/>
      <c r="CT55" s="3"/>
    </row>
    <row r="56" spans="1:130" s="25" customFormat="1" ht="24.6" hidden="1" customHeight="1">
      <c r="C56" s="45"/>
      <c r="E56" s="70"/>
      <c r="F56" s="70"/>
      <c r="I56" s="25" t="s">
        <v>56</v>
      </c>
      <c r="J56" s="26"/>
      <c r="BV56" s="12"/>
      <c r="BW56" s="12"/>
      <c r="BX56" s="12"/>
      <c r="BY56" s="12"/>
      <c r="BZ56" s="12"/>
      <c r="CA56" s="12"/>
      <c r="CB56" s="12"/>
      <c r="CC56" s="12"/>
      <c r="CD56" s="12"/>
      <c r="CE56" s="12"/>
      <c r="CF56" s="12"/>
      <c r="CG56" s="12"/>
      <c r="CH56" s="12"/>
      <c r="CI56" s="12"/>
      <c r="CJ56" s="12"/>
      <c r="CK56" s="12"/>
      <c r="CL56" s="12"/>
      <c r="CT56" s="3"/>
    </row>
    <row r="57" spans="1:130" s="25" customFormat="1" ht="24.6" hidden="1" customHeight="1">
      <c r="C57" s="45"/>
      <c r="E57" s="70"/>
      <c r="F57" s="70"/>
      <c r="I57" s="25" t="s">
        <v>56</v>
      </c>
      <c r="J57" s="26"/>
      <c r="BV57" s="12"/>
      <c r="BW57" s="12"/>
      <c r="BX57" s="12"/>
      <c r="BY57" s="12"/>
      <c r="BZ57" s="12"/>
      <c r="CA57" s="12"/>
      <c r="CB57" s="12"/>
      <c r="CC57" s="12"/>
      <c r="CD57" s="12"/>
      <c r="CE57" s="12"/>
      <c r="CF57" s="12"/>
      <c r="CG57" s="12"/>
      <c r="CH57" s="12"/>
      <c r="CI57" s="12"/>
      <c r="CJ57" s="12"/>
      <c r="CK57" s="12"/>
      <c r="CL57" s="12"/>
      <c r="CT57" s="3"/>
    </row>
    <row r="58" spans="1:130" s="25" customFormat="1" ht="24.6" hidden="1" customHeight="1">
      <c r="C58" s="45"/>
      <c r="E58" s="70"/>
      <c r="F58" s="70"/>
      <c r="I58" s="25" t="s">
        <v>56</v>
      </c>
      <c r="J58" s="26"/>
      <c r="BV58" s="12"/>
      <c r="BW58" s="12"/>
      <c r="BX58" s="12"/>
      <c r="BY58" s="12"/>
      <c r="BZ58" s="12"/>
      <c r="CA58" s="12"/>
      <c r="CB58" s="12"/>
      <c r="CC58" s="12"/>
      <c r="CD58" s="12"/>
      <c r="CE58" s="12"/>
      <c r="CF58" s="12"/>
      <c r="CG58" s="12"/>
      <c r="CH58" s="12"/>
      <c r="CI58" s="12"/>
      <c r="CJ58" s="12"/>
      <c r="CK58" s="12"/>
      <c r="CL58" s="12"/>
      <c r="CT58" s="3"/>
    </row>
    <row r="59" spans="1:130" s="25" customFormat="1" ht="24.6" hidden="1" customHeight="1">
      <c r="C59" s="45"/>
      <c r="E59" s="70"/>
      <c r="F59" s="70"/>
      <c r="I59" s="25" t="s">
        <v>56</v>
      </c>
      <c r="J59" s="26"/>
      <c r="BV59" s="12"/>
      <c r="BW59" s="12"/>
      <c r="BX59" s="12"/>
      <c r="BY59" s="12"/>
      <c r="BZ59" s="12"/>
      <c r="CA59" s="12"/>
      <c r="CB59" s="12"/>
      <c r="CC59" s="12"/>
      <c r="CD59" s="12"/>
      <c r="CE59" s="12"/>
      <c r="CF59" s="12"/>
      <c r="CG59" s="12"/>
      <c r="CH59" s="12"/>
      <c r="CI59" s="12"/>
      <c r="CJ59" s="12"/>
      <c r="CK59" s="12"/>
      <c r="CL59" s="12"/>
      <c r="CT59" s="3"/>
    </row>
    <row r="60" spans="1:130" s="25" customFormat="1" ht="24.6" hidden="1" customHeight="1">
      <c r="C60" s="45"/>
      <c r="E60" s="70"/>
      <c r="F60" s="70"/>
      <c r="I60" s="25" t="s">
        <v>56</v>
      </c>
      <c r="J60" s="26"/>
      <c r="BV60" s="12"/>
      <c r="BW60" s="12"/>
      <c r="BX60" s="12"/>
      <c r="BY60" s="12"/>
      <c r="BZ60" s="12"/>
      <c r="CA60" s="12"/>
      <c r="CB60" s="12"/>
      <c r="CC60" s="12"/>
      <c r="CD60" s="12"/>
      <c r="CE60" s="12"/>
      <c r="CF60" s="12"/>
      <c r="CG60" s="12"/>
      <c r="CH60" s="12"/>
      <c r="CI60" s="12"/>
      <c r="CJ60" s="12"/>
      <c r="CK60" s="12"/>
      <c r="CL60" s="12"/>
      <c r="CT60" s="3"/>
    </row>
    <row r="61" spans="1:130" s="25" customFormat="1" ht="24.6" hidden="1" customHeight="1">
      <c r="C61" s="45"/>
      <c r="E61" s="70"/>
      <c r="F61" s="70"/>
      <c r="I61" s="25" t="s">
        <v>56</v>
      </c>
      <c r="J61" s="26"/>
      <c r="BV61" s="12"/>
      <c r="BW61" s="12"/>
      <c r="BX61" s="12"/>
      <c r="BY61" s="12"/>
      <c r="BZ61" s="12"/>
      <c r="CA61" s="12"/>
      <c r="CB61" s="12"/>
      <c r="CC61" s="12"/>
      <c r="CD61" s="12"/>
      <c r="CE61" s="12"/>
      <c r="CF61" s="12"/>
      <c r="CG61" s="12"/>
      <c r="CH61" s="12"/>
      <c r="CI61" s="12"/>
      <c r="CJ61" s="12"/>
      <c r="CK61" s="12"/>
      <c r="CL61" s="12"/>
      <c r="CT61" s="3"/>
    </row>
    <row r="62" spans="1:130" s="25" customFormat="1" ht="24.6" hidden="1" customHeight="1">
      <c r="C62" s="45"/>
      <c r="E62" s="70"/>
      <c r="F62" s="70"/>
      <c r="I62" s="25" t="s">
        <v>56</v>
      </c>
      <c r="J62" s="26"/>
      <c r="BV62" s="12"/>
      <c r="BW62" s="12"/>
      <c r="BX62" s="12"/>
      <c r="BY62" s="12"/>
      <c r="BZ62" s="12"/>
      <c r="CA62" s="12"/>
      <c r="CB62" s="12"/>
      <c r="CC62" s="12"/>
      <c r="CD62" s="12"/>
      <c r="CE62" s="12"/>
      <c r="CF62" s="12"/>
      <c r="CG62" s="12"/>
      <c r="CH62" s="12"/>
      <c r="CI62" s="12"/>
      <c r="CJ62" s="12"/>
      <c r="CK62" s="12"/>
      <c r="CL62" s="12"/>
      <c r="CT62" s="3"/>
    </row>
    <row r="63" spans="1:130" s="25" customFormat="1" ht="24.6" hidden="1" customHeight="1">
      <c r="C63" s="45"/>
      <c r="E63" s="70"/>
      <c r="F63" s="70"/>
      <c r="I63" s="25" t="s">
        <v>56</v>
      </c>
      <c r="J63" s="26"/>
      <c r="BV63" s="12"/>
      <c r="BW63" s="12"/>
      <c r="BX63" s="12"/>
      <c r="BY63" s="12"/>
      <c r="BZ63" s="12"/>
      <c r="CA63" s="12"/>
      <c r="CB63" s="12"/>
      <c r="CC63" s="12"/>
      <c r="CD63" s="12"/>
      <c r="CE63" s="12"/>
      <c r="CF63" s="12"/>
      <c r="CG63" s="12"/>
      <c r="CH63" s="12"/>
      <c r="CI63" s="12"/>
      <c r="CJ63" s="12"/>
      <c r="CK63" s="12"/>
      <c r="CL63" s="12"/>
      <c r="CT63" s="3"/>
    </row>
    <row r="64" spans="1:130" s="25" customFormat="1" ht="24.6" hidden="1" customHeight="1">
      <c r="C64" s="45"/>
      <c r="E64" s="70"/>
      <c r="F64" s="70"/>
      <c r="I64" s="25" t="s">
        <v>56</v>
      </c>
      <c r="J64" s="26"/>
      <c r="BV64" s="12"/>
      <c r="BW64" s="12"/>
      <c r="BX64" s="12"/>
      <c r="BY64" s="12"/>
      <c r="BZ64" s="12"/>
      <c r="CA64" s="12"/>
      <c r="CB64" s="12"/>
      <c r="CC64" s="12"/>
      <c r="CD64" s="12"/>
      <c r="CE64" s="12"/>
      <c r="CF64" s="12"/>
      <c r="CG64" s="12"/>
      <c r="CH64" s="12"/>
      <c r="CI64" s="12"/>
      <c r="CJ64" s="12"/>
      <c r="CK64" s="12"/>
      <c r="CL64" s="12"/>
      <c r="CT64" s="3"/>
    </row>
    <row r="65" spans="3:98" s="25" customFormat="1" ht="24.6" hidden="1" customHeight="1">
      <c r="C65" s="45"/>
      <c r="E65" s="70"/>
      <c r="F65" s="70"/>
      <c r="I65" s="25" t="s">
        <v>56</v>
      </c>
      <c r="J65" s="26"/>
      <c r="BV65" s="12"/>
      <c r="BW65" s="12"/>
      <c r="BX65" s="12"/>
      <c r="BY65" s="12"/>
      <c r="BZ65" s="12"/>
      <c r="CA65" s="12"/>
      <c r="CB65" s="12"/>
      <c r="CC65" s="12"/>
      <c r="CD65" s="12"/>
      <c r="CE65" s="12"/>
      <c r="CF65" s="12"/>
      <c r="CG65" s="12"/>
      <c r="CH65" s="12"/>
      <c r="CI65" s="12"/>
      <c r="CJ65" s="12"/>
      <c r="CK65" s="12"/>
      <c r="CL65" s="12"/>
      <c r="CT65" s="3"/>
    </row>
    <row r="66" spans="3:98" s="25" customFormat="1" ht="24.6" hidden="1" customHeight="1">
      <c r="C66" s="45"/>
      <c r="E66" s="70"/>
      <c r="F66" s="70"/>
      <c r="I66" s="25" t="s">
        <v>56</v>
      </c>
      <c r="J66" s="26"/>
      <c r="BV66" s="12"/>
      <c r="BW66" s="12"/>
      <c r="BX66" s="12"/>
      <c r="BY66" s="12"/>
      <c r="BZ66" s="12"/>
      <c r="CA66" s="12"/>
      <c r="CB66" s="12"/>
      <c r="CC66" s="12"/>
      <c r="CD66" s="12"/>
      <c r="CE66" s="12"/>
      <c r="CF66" s="12"/>
      <c r="CG66" s="12"/>
      <c r="CH66" s="12"/>
      <c r="CI66" s="12"/>
      <c r="CJ66" s="12"/>
      <c r="CK66" s="12"/>
      <c r="CL66" s="12"/>
      <c r="CT66" s="3"/>
    </row>
    <row r="67" spans="3:98" s="25" customFormat="1" ht="24.6" hidden="1" customHeight="1">
      <c r="C67" s="45"/>
      <c r="E67" s="70"/>
      <c r="F67" s="70"/>
      <c r="I67" s="25" t="s">
        <v>56</v>
      </c>
      <c r="J67" s="26"/>
      <c r="BV67" s="12"/>
      <c r="BW67" s="12"/>
      <c r="BX67" s="12"/>
      <c r="BY67" s="12"/>
      <c r="BZ67" s="12"/>
      <c r="CA67" s="12"/>
      <c r="CB67" s="12"/>
      <c r="CC67" s="12"/>
      <c r="CD67" s="12"/>
      <c r="CE67" s="12"/>
      <c r="CF67" s="12"/>
      <c r="CG67" s="12"/>
      <c r="CH67" s="12"/>
      <c r="CI67" s="12"/>
      <c r="CJ67" s="12"/>
      <c r="CK67" s="12"/>
      <c r="CL67" s="12"/>
      <c r="CT67" s="3"/>
    </row>
    <row r="68" spans="3:98" s="25" customFormat="1" ht="24.6" hidden="1" customHeight="1">
      <c r="C68" s="45"/>
      <c r="E68" s="70"/>
      <c r="F68" s="70"/>
      <c r="I68" s="25" t="s">
        <v>56</v>
      </c>
      <c r="J68" s="26"/>
      <c r="BV68" s="12"/>
      <c r="BW68" s="12"/>
      <c r="BX68" s="12"/>
      <c r="BY68" s="12"/>
      <c r="BZ68" s="12"/>
      <c r="CA68" s="12"/>
      <c r="CB68" s="12"/>
      <c r="CC68" s="12"/>
      <c r="CD68" s="12"/>
      <c r="CE68" s="12"/>
      <c r="CF68" s="12"/>
      <c r="CG68" s="12"/>
      <c r="CH68" s="12"/>
      <c r="CI68" s="12"/>
      <c r="CJ68" s="12"/>
      <c r="CK68" s="12"/>
      <c r="CL68" s="12"/>
      <c r="CT68" s="3"/>
    </row>
    <row r="69" spans="3:98" s="25" customFormat="1" ht="24.6" hidden="1" customHeight="1">
      <c r="C69" s="45"/>
      <c r="E69" s="70"/>
      <c r="F69" s="70"/>
      <c r="I69" s="25" t="s">
        <v>56</v>
      </c>
      <c r="J69" s="26"/>
      <c r="BV69" s="12"/>
      <c r="BW69" s="12"/>
      <c r="BX69" s="12"/>
      <c r="BY69" s="12"/>
      <c r="BZ69" s="12"/>
      <c r="CA69" s="12"/>
      <c r="CB69" s="12"/>
      <c r="CC69" s="12"/>
      <c r="CD69" s="12"/>
      <c r="CE69" s="12"/>
      <c r="CF69" s="12"/>
      <c r="CG69" s="12"/>
      <c r="CH69" s="12"/>
      <c r="CI69" s="12"/>
      <c r="CJ69" s="12"/>
      <c r="CK69" s="12"/>
      <c r="CL69" s="12"/>
      <c r="CT69" s="3"/>
    </row>
    <row r="70" spans="3:98" s="25" customFormat="1" ht="24.6" hidden="1" customHeight="1">
      <c r="C70" s="45"/>
      <c r="E70" s="70"/>
      <c r="F70" s="70"/>
      <c r="I70" s="25" t="s">
        <v>56</v>
      </c>
      <c r="J70" s="26"/>
      <c r="BV70" s="12"/>
      <c r="BW70" s="12"/>
      <c r="BX70" s="12"/>
      <c r="BY70" s="12"/>
      <c r="BZ70" s="12"/>
      <c r="CA70" s="12"/>
      <c r="CB70" s="12"/>
      <c r="CC70" s="12"/>
      <c r="CD70" s="12"/>
      <c r="CE70" s="12"/>
      <c r="CF70" s="12"/>
      <c r="CG70" s="12"/>
      <c r="CH70" s="12"/>
      <c r="CI70" s="12"/>
      <c r="CJ70" s="12"/>
      <c r="CK70" s="12"/>
      <c r="CL70" s="12"/>
      <c r="CT70" s="3"/>
    </row>
    <row r="71" spans="3:98" s="25" customFormat="1" ht="24.6" hidden="1" customHeight="1">
      <c r="C71" s="45"/>
      <c r="E71" s="70"/>
      <c r="F71" s="70"/>
      <c r="I71" s="25" t="s">
        <v>56</v>
      </c>
      <c r="J71" s="26"/>
      <c r="BV71" s="12"/>
      <c r="BW71" s="12"/>
      <c r="BX71" s="12"/>
      <c r="BY71" s="12"/>
      <c r="BZ71" s="12"/>
      <c r="CA71" s="12"/>
      <c r="CB71" s="12"/>
      <c r="CC71" s="12"/>
      <c r="CD71" s="12"/>
      <c r="CE71" s="12"/>
      <c r="CF71" s="12"/>
      <c r="CG71" s="12"/>
      <c r="CH71" s="12"/>
      <c r="CI71" s="12"/>
      <c r="CJ71" s="12"/>
      <c r="CK71" s="12"/>
      <c r="CL71" s="12"/>
      <c r="CT71" s="3"/>
    </row>
    <row r="72" spans="3:98" s="25" customFormat="1" ht="24.6" hidden="1" customHeight="1">
      <c r="C72" s="45"/>
      <c r="E72" s="70"/>
      <c r="F72" s="70"/>
      <c r="I72" s="25" t="s">
        <v>56</v>
      </c>
      <c r="J72" s="26"/>
      <c r="BV72" s="12"/>
      <c r="BW72" s="12"/>
      <c r="BX72" s="12"/>
      <c r="BY72" s="12"/>
      <c r="BZ72" s="12"/>
      <c r="CA72" s="12"/>
      <c r="CB72" s="12"/>
      <c r="CC72" s="12"/>
      <c r="CD72" s="12"/>
      <c r="CE72" s="12"/>
      <c r="CF72" s="12"/>
      <c r="CG72" s="12"/>
      <c r="CH72" s="12"/>
      <c r="CI72" s="12"/>
      <c r="CJ72" s="12"/>
      <c r="CK72" s="12"/>
      <c r="CL72" s="12"/>
      <c r="CT72" s="3"/>
    </row>
    <row r="73" spans="3:98" s="25" customFormat="1" ht="24.6" hidden="1" customHeight="1">
      <c r="C73" s="45"/>
      <c r="E73" s="70"/>
      <c r="F73" s="70"/>
      <c r="I73" s="25" t="s">
        <v>56</v>
      </c>
      <c r="J73" s="26"/>
      <c r="BV73" s="12"/>
      <c r="BW73" s="12"/>
      <c r="BX73" s="12"/>
      <c r="BY73" s="12"/>
      <c r="BZ73" s="12"/>
      <c r="CA73" s="12"/>
      <c r="CB73" s="12"/>
      <c r="CC73" s="12"/>
      <c r="CD73" s="12"/>
      <c r="CE73" s="12"/>
      <c r="CF73" s="12"/>
      <c r="CG73" s="12"/>
      <c r="CH73" s="12"/>
      <c r="CI73" s="12"/>
      <c r="CJ73" s="12"/>
      <c r="CK73" s="12"/>
      <c r="CL73" s="12"/>
      <c r="CT73" s="3"/>
    </row>
    <row r="74" spans="3:98" s="25" customFormat="1" ht="24.6" hidden="1" customHeight="1">
      <c r="C74" s="45"/>
      <c r="E74" s="70"/>
      <c r="F74" s="70"/>
      <c r="I74" s="25" t="s">
        <v>56</v>
      </c>
      <c r="J74" s="26"/>
      <c r="BV74" s="12"/>
      <c r="BW74" s="12"/>
      <c r="BX74" s="12"/>
      <c r="BY74" s="12"/>
      <c r="BZ74" s="12"/>
      <c r="CA74" s="12"/>
      <c r="CB74" s="12"/>
      <c r="CC74" s="12"/>
      <c r="CD74" s="12"/>
      <c r="CE74" s="12"/>
      <c r="CF74" s="12"/>
      <c r="CG74" s="12"/>
      <c r="CH74" s="12"/>
      <c r="CI74" s="12"/>
      <c r="CJ74" s="12"/>
      <c r="CK74" s="12"/>
      <c r="CL74" s="12"/>
      <c r="CT74" s="3"/>
    </row>
    <row r="75" spans="3:98" s="25" customFormat="1" ht="24.6" hidden="1" customHeight="1">
      <c r="C75" s="45"/>
      <c r="E75" s="70"/>
      <c r="F75" s="70"/>
      <c r="I75" s="25" t="s">
        <v>56</v>
      </c>
      <c r="J75" s="26"/>
      <c r="BV75" s="12"/>
      <c r="BW75" s="12"/>
      <c r="BX75" s="12"/>
      <c r="BY75" s="12"/>
      <c r="BZ75" s="12"/>
      <c r="CA75" s="12"/>
      <c r="CB75" s="12"/>
      <c r="CC75" s="12"/>
      <c r="CD75" s="12"/>
      <c r="CE75" s="12"/>
      <c r="CF75" s="12"/>
      <c r="CG75" s="12"/>
      <c r="CH75" s="12"/>
      <c r="CI75" s="12"/>
      <c r="CJ75" s="12"/>
      <c r="CK75" s="12"/>
      <c r="CL75" s="12"/>
      <c r="CT75" s="3"/>
    </row>
    <row r="76" spans="3:98" s="25" customFormat="1" ht="24.6" hidden="1" customHeight="1">
      <c r="C76" s="45"/>
      <c r="E76" s="70"/>
      <c r="F76" s="70"/>
      <c r="I76" s="25" t="s">
        <v>56</v>
      </c>
      <c r="J76" s="26"/>
      <c r="BV76" s="12"/>
      <c r="BW76" s="12"/>
      <c r="BX76" s="12"/>
      <c r="BY76" s="12"/>
      <c r="BZ76" s="12"/>
      <c r="CA76" s="12"/>
      <c r="CB76" s="12"/>
      <c r="CC76" s="12"/>
      <c r="CD76" s="12"/>
      <c r="CE76" s="12"/>
      <c r="CF76" s="12"/>
      <c r="CG76" s="12"/>
      <c r="CH76" s="12"/>
      <c r="CI76" s="12"/>
      <c r="CJ76" s="12"/>
      <c r="CK76" s="12"/>
      <c r="CL76" s="12"/>
      <c r="CT76" s="3"/>
    </row>
    <row r="77" spans="3:98" s="25" customFormat="1" ht="24.6" hidden="1" customHeight="1">
      <c r="C77" s="45"/>
      <c r="E77" s="70"/>
      <c r="F77" s="70"/>
      <c r="I77" s="25" t="s">
        <v>56</v>
      </c>
      <c r="J77" s="26"/>
      <c r="BV77" s="12"/>
      <c r="BW77" s="12"/>
      <c r="BX77" s="12"/>
      <c r="BY77" s="12"/>
      <c r="BZ77" s="12"/>
      <c r="CA77" s="12"/>
      <c r="CB77" s="12"/>
      <c r="CC77" s="12"/>
      <c r="CD77" s="12"/>
      <c r="CE77" s="12"/>
      <c r="CF77" s="12"/>
      <c r="CG77" s="12"/>
      <c r="CH77" s="12"/>
      <c r="CI77" s="12"/>
      <c r="CJ77" s="12"/>
      <c r="CK77" s="12"/>
      <c r="CL77" s="12"/>
      <c r="CT77" s="3"/>
    </row>
    <row r="78" spans="3:98" s="25" customFormat="1" ht="24.6" hidden="1" customHeight="1">
      <c r="C78" s="45"/>
      <c r="E78" s="70"/>
      <c r="F78" s="70"/>
      <c r="I78" s="25" t="s">
        <v>56</v>
      </c>
      <c r="J78" s="26"/>
      <c r="BV78" s="12"/>
      <c r="BW78" s="12"/>
      <c r="BX78" s="12"/>
      <c r="BY78" s="12"/>
      <c r="BZ78" s="12"/>
      <c r="CA78" s="12"/>
      <c r="CB78" s="12"/>
      <c r="CC78" s="12"/>
      <c r="CD78" s="12"/>
      <c r="CE78" s="12"/>
      <c r="CF78" s="12"/>
      <c r="CG78" s="12"/>
      <c r="CH78" s="12"/>
      <c r="CI78" s="12"/>
      <c r="CJ78" s="12"/>
      <c r="CK78" s="12"/>
      <c r="CL78" s="12"/>
      <c r="CT78" s="3"/>
    </row>
    <row r="79" spans="3:98" s="25" customFormat="1" ht="24.6" hidden="1" customHeight="1">
      <c r="C79" s="45"/>
      <c r="E79" s="70"/>
      <c r="F79" s="70"/>
      <c r="I79" s="25" t="s">
        <v>56</v>
      </c>
      <c r="J79" s="26"/>
      <c r="BV79" s="12"/>
      <c r="BW79" s="12"/>
      <c r="BX79" s="12"/>
      <c r="BY79" s="12"/>
      <c r="BZ79" s="12"/>
      <c r="CA79" s="12"/>
      <c r="CB79" s="12"/>
      <c r="CC79" s="12"/>
      <c r="CD79" s="12"/>
      <c r="CE79" s="12"/>
      <c r="CF79" s="12"/>
      <c r="CG79" s="12"/>
      <c r="CH79" s="12"/>
      <c r="CI79" s="12"/>
      <c r="CJ79" s="12"/>
      <c r="CK79" s="12"/>
      <c r="CL79" s="12"/>
      <c r="CT79" s="3"/>
    </row>
    <row r="80" spans="3:98" s="25" customFormat="1" ht="24.6" hidden="1" customHeight="1">
      <c r="C80" s="45"/>
      <c r="E80" s="70"/>
      <c r="F80" s="70"/>
      <c r="I80" s="25" t="s">
        <v>56</v>
      </c>
      <c r="J80" s="26"/>
      <c r="BV80" s="12"/>
      <c r="BW80" s="12"/>
      <c r="BX80" s="12"/>
      <c r="BY80" s="12"/>
      <c r="BZ80" s="12"/>
      <c r="CA80" s="12"/>
      <c r="CB80" s="12"/>
      <c r="CC80" s="12"/>
      <c r="CD80" s="12"/>
      <c r="CE80" s="12"/>
      <c r="CF80" s="12"/>
      <c r="CG80" s="12"/>
      <c r="CH80" s="12"/>
      <c r="CI80" s="12"/>
      <c r="CJ80" s="12"/>
      <c r="CK80" s="12"/>
      <c r="CL80" s="12"/>
      <c r="CT80" s="3"/>
    </row>
    <row r="81" spans="1:128" s="25" customFormat="1" ht="24.6" hidden="1" customHeight="1">
      <c r="C81" s="45"/>
      <c r="E81" s="70"/>
      <c r="F81" s="70"/>
      <c r="I81" s="25" t="s">
        <v>56</v>
      </c>
      <c r="J81" s="26"/>
      <c r="BV81" s="12"/>
      <c r="BW81" s="12"/>
      <c r="BX81" s="12"/>
      <c r="BY81" s="12"/>
      <c r="BZ81" s="12"/>
      <c r="CA81" s="12"/>
      <c r="CB81" s="12"/>
      <c r="CC81" s="12"/>
      <c r="CD81" s="12"/>
      <c r="CE81" s="12"/>
      <c r="CF81" s="12"/>
      <c r="CG81" s="12"/>
      <c r="CH81" s="12"/>
      <c r="CI81" s="12"/>
      <c r="CJ81" s="12"/>
      <c r="CK81" s="12"/>
      <c r="CL81" s="12"/>
      <c r="CT81" s="3"/>
    </row>
    <row r="82" spans="1:128" s="25" customFormat="1" ht="24.6" hidden="1" customHeight="1">
      <c r="C82" s="45"/>
      <c r="E82" s="70"/>
      <c r="F82" s="70"/>
      <c r="I82" s="25" t="s">
        <v>56</v>
      </c>
      <c r="J82" s="26"/>
      <c r="BV82" s="12"/>
      <c r="BW82" s="12"/>
      <c r="BX82" s="12"/>
      <c r="BY82" s="12"/>
      <c r="BZ82" s="12"/>
      <c r="CA82" s="12"/>
      <c r="CB82" s="12"/>
      <c r="CC82" s="12"/>
      <c r="CD82" s="12"/>
      <c r="CE82" s="12"/>
      <c r="CF82" s="12"/>
      <c r="CG82" s="12"/>
      <c r="CH82" s="12"/>
      <c r="CI82" s="12"/>
      <c r="CJ82" s="12"/>
      <c r="CK82" s="12"/>
      <c r="CL82" s="12"/>
      <c r="CT82" s="3"/>
    </row>
    <row r="83" spans="1:128" s="25" customFormat="1" ht="24.6" hidden="1" customHeight="1">
      <c r="C83" s="45"/>
      <c r="E83" s="70"/>
      <c r="F83" s="70"/>
      <c r="I83" s="25" t="s">
        <v>56</v>
      </c>
      <c r="J83" s="26"/>
      <c r="BV83" s="12"/>
      <c r="BW83" s="12"/>
      <c r="BX83" s="12"/>
      <c r="BY83" s="12"/>
      <c r="BZ83" s="12"/>
      <c r="CA83" s="12"/>
      <c r="CB83" s="12"/>
      <c r="CC83" s="12"/>
      <c r="CD83" s="12"/>
      <c r="CE83" s="12"/>
      <c r="CF83" s="12"/>
      <c r="CG83" s="12"/>
      <c r="CH83" s="12"/>
      <c r="CI83" s="12"/>
      <c r="CJ83" s="12"/>
      <c r="CK83" s="12"/>
      <c r="CL83" s="12"/>
      <c r="CT83" s="3"/>
    </row>
    <row r="84" spans="1:128" s="25" customFormat="1" ht="24.6" hidden="1" customHeight="1">
      <c r="C84" s="45"/>
      <c r="E84" s="70"/>
      <c r="F84" s="70"/>
      <c r="I84" s="25" t="s">
        <v>56</v>
      </c>
      <c r="J84" s="26"/>
      <c r="BV84" s="12"/>
      <c r="BW84" s="12"/>
      <c r="BX84" s="12"/>
      <c r="BY84" s="12"/>
      <c r="BZ84" s="12"/>
      <c r="CA84" s="12"/>
      <c r="CB84" s="12"/>
      <c r="CC84" s="12"/>
      <c r="CD84" s="12"/>
      <c r="CE84" s="12"/>
      <c r="CF84" s="12"/>
      <c r="CG84" s="12"/>
      <c r="CH84" s="12"/>
      <c r="CI84" s="12"/>
      <c r="CJ84" s="12"/>
      <c r="CK84" s="12"/>
      <c r="CL84" s="12"/>
      <c r="CT84" s="3"/>
    </row>
    <row r="85" spans="1:128" s="25" customFormat="1" ht="24.6" hidden="1" customHeight="1">
      <c r="C85" s="45"/>
      <c r="E85" s="70"/>
      <c r="F85" s="70"/>
      <c r="I85" s="25" t="s">
        <v>56</v>
      </c>
      <c r="J85" s="26"/>
      <c r="BV85" s="12"/>
      <c r="BW85" s="12"/>
      <c r="BX85" s="12"/>
      <c r="BY85" s="12"/>
      <c r="BZ85" s="12"/>
      <c r="CA85" s="12"/>
      <c r="CB85" s="12"/>
      <c r="CC85" s="12"/>
      <c r="CD85" s="12"/>
      <c r="CE85" s="12"/>
      <c r="CF85" s="12"/>
      <c r="CG85" s="12"/>
      <c r="CH85" s="12"/>
      <c r="CI85" s="12"/>
      <c r="CJ85" s="12"/>
      <c r="CK85" s="12"/>
      <c r="CL85" s="12"/>
      <c r="CT85" s="3"/>
    </row>
    <row r="86" spans="1:128" s="25" customFormat="1" ht="24.6" hidden="1" customHeight="1">
      <c r="C86" s="45"/>
      <c r="E86" s="70"/>
      <c r="F86" s="70"/>
      <c r="I86" s="25" t="s">
        <v>56</v>
      </c>
      <c r="J86" s="26"/>
      <c r="BV86" s="12"/>
      <c r="BW86" s="12"/>
      <c r="BX86" s="12"/>
      <c r="BY86" s="12"/>
      <c r="BZ86" s="12"/>
      <c r="CA86" s="12"/>
      <c r="CB86" s="12"/>
      <c r="CC86" s="12"/>
      <c r="CD86" s="12"/>
      <c r="CE86" s="12"/>
      <c r="CF86" s="12"/>
      <c r="CG86" s="12"/>
      <c r="CH86" s="12"/>
      <c r="CI86" s="12"/>
      <c r="CJ86" s="12"/>
      <c r="CK86" s="12"/>
      <c r="CL86" s="12"/>
      <c r="CT86" s="3"/>
    </row>
    <row r="87" spans="1:128" s="25" customFormat="1" ht="24.6" hidden="1" customHeight="1">
      <c r="C87" s="45"/>
      <c r="E87" s="70"/>
      <c r="F87" s="70"/>
      <c r="I87" s="25" t="s">
        <v>56</v>
      </c>
      <c r="J87" s="26"/>
      <c r="BV87" s="12"/>
      <c r="BW87" s="12"/>
      <c r="BX87" s="12"/>
      <c r="BY87" s="12"/>
      <c r="BZ87" s="12"/>
      <c r="CA87" s="12"/>
      <c r="CB87" s="12"/>
      <c r="CC87" s="12"/>
      <c r="CD87" s="12"/>
      <c r="CE87" s="12"/>
      <c r="CF87" s="12"/>
      <c r="CG87" s="12"/>
      <c r="CH87" s="12"/>
      <c r="CI87" s="12"/>
      <c r="CJ87" s="12"/>
      <c r="CK87" s="12"/>
      <c r="CL87" s="12"/>
      <c r="CT87" s="3"/>
    </row>
    <row r="88" spans="1:128" s="25" customFormat="1" ht="24.6" hidden="1" customHeight="1">
      <c r="C88" s="45"/>
      <c r="E88" s="70"/>
      <c r="F88" s="70"/>
      <c r="I88" s="25" t="s">
        <v>56</v>
      </c>
      <c r="J88" s="26"/>
      <c r="BV88" s="12"/>
      <c r="BW88" s="12"/>
      <c r="BX88" s="12"/>
      <c r="BY88" s="12"/>
      <c r="BZ88" s="12"/>
      <c r="CA88" s="12"/>
      <c r="CB88" s="12"/>
      <c r="CC88" s="12"/>
      <c r="CD88" s="12"/>
      <c r="CE88" s="12"/>
      <c r="CF88" s="12"/>
      <c r="CG88" s="12"/>
      <c r="CH88" s="12"/>
      <c r="CI88" s="12"/>
      <c r="CJ88" s="12"/>
      <c r="CK88" s="12"/>
      <c r="CL88" s="12"/>
      <c r="CT88" s="3"/>
    </row>
    <row r="89" spans="1:128" s="25" customFormat="1" ht="24.6" hidden="1" customHeight="1">
      <c r="C89" s="45"/>
      <c r="E89" s="70"/>
      <c r="F89" s="70"/>
      <c r="I89" s="25" t="s">
        <v>56</v>
      </c>
      <c r="J89" s="26"/>
      <c r="BV89" s="12"/>
      <c r="BW89" s="12"/>
      <c r="BX89" s="12"/>
      <c r="BY89" s="12"/>
      <c r="BZ89" s="12"/>
      <c r="CA89" s="12"/>
      <c r="CB89" s="12"/>
      <c r="CC89" s="12"/>
      <c r="CD89" s="12"/>
      <c r="CE89" s="12"/>
      <c r="CF89" s="12"/>
      <c r="CG89" s="12"/>
      <c r="CH89" s="12"/>
      <c r="CI89" s="12"/>
      <c r="CJ89" s="12"/>
      <c r="CK89" s="12"/>
      <c r="CL89" s="12"/>
      <c r="CT89" s="3"/>
    </row>
    <row r="90" spans="1:128" s="25" customFormat="1" ht="24.6" hidden="1" customHeight="1">
      <c r="C90" s="45"/>
      <c r="E90" s="70"/>
      <c r="F90" s="70"/>
      <c r="I90" s="25" t="s">
        <v>56</v>
      </c>
      <c r="J90" s="26"/>
      <c r="BV90" s="12"/>
      <c r="BW90" s="12"/>
      <c r="BX90" s="12"/>
      <c r="BY90" s="12"/>
      <c r="BZ90" s="12"/>
      <c r="CA90" s="12"/>
      <c r="CB90" s="12"/>
      <c r="CC90" s="12"/>
      <c r="CD90" s="12"/>
      <c r="CE90" s="12"/>
      <c r="CF90" s="12"/>
      <c r="CG90" s="12"/>
      <c r="CH90" s="12"/>
      <c r="CI90" s="12"/>
      <c r="CJ90" s="12"/>
      <c r="CK90" s="12"/>
      <c r="CL90" s="12"/>
      <c r="CT90" s="3"/>
    </row>
    <row r="91" spans="1:128" s="25" customFormat="1" ht="24.6" hidden="1" customHeight="1">
      <c r="C91" s="45"/>
      <c r="E91" s="70"/>
      <c r="F91" s="70"/>
      <c r="I91" s="25" t="s">
        <v>56</v>
      </c>
      <c r="J91" s="26"/>
      <c r="BV91" s="12"/>
      <c r="BW91" s="12"/>
      <c r="BX91" s="12"/>
      <c r="BY91" s="12"/>
      <c r="BZ91" s="12"/>
      <c r="CA91" s="12"/>
      <c r="CB91" s="12"/>
      <c r="CC91" s="12"/>
      <c r="CD91" s="12"/>
      <c r="CE91" s="12"/>
      <c r="CF91" s="12"/>
      <c r="CG91" s="12"/>
      <c r="CH91" s="12"/>
      <c r="CI91" s="12"/>
      <c r="CJ91" s="12"/>
      <c r="CK91" s="12"/>
      <c r="CL91" s="12"/>
      <c r="CT91" s="3"/>
    </row>
    <row r="93" spans="1:128" s="25" customFormat="1" ht="24.6" customHeight="1">
      <c r="C93" s="45"/>
      <c r="E93" s="70"/>
      <c r="F93" s="70"/>
      <c r="J93" s="26"/>
      <c r="K93" s="25">
        <f t="shared" ref="K93:AP93" si="0">+COUNTIF(K5:K91,"OUI")</f>
        <v>0</v>
      </c>
      <c r="L93" s="25">
        <f t="shared" si="0"/>
        <v>0</v>
      </c>
      <c r="M93" s="25">
        <f t="shared" si="0"/>
        <v>0</v>
      </c>
      <c r="N93" s="25">
        <f t="shared" si="0"/>
        <v>43</v>
      </c>
      <c r="O93" s="25">
        <f t="shared" si="0"/>
        <v>17</v>
      </c>
      <c r="P93" s="25">
        <f t="shared" si="0"/>
        <v>3</v>
      </c>
      <c r="Q93" s="25">
        <f t="shared" si="0"/>
        <v>8</v>
      </c>
      <c r="R93" s="25">
        <f t="shared" si="0"/>
        <v>4</v>
      </c>
      <c r="S93" s="25">
        <f t="shared" si="0"/>
        <v>2</v>
      </c>
      <c r="T93" s="25">
        <f t="shared" si="0"/>
        <v>5</v>
      </c>
      <c r="U93" s="25">
        <f t="shared" si="0"/>
        <v>5</v>
      </c>
      <c r="V93" s="25">
        <f t="shared" si="0"/>
        <v>11</v>
      </c>
      <c r="W93" s="25">
        <f t="shared" si="0"/>
        <v>8</v>
      </c>
      <c r="X93" s="25">
        <f t="shared" si="0"/>
        <v>9</v>
      </c>
      <c r="Y93" s="25">
        <f t="shared" si="0"/>
        <v>9</v>
      </c>
      <c r="Z93" s="25">
        <f t="shared" si="0"/>
        <v>9</v>
      </c>
      <c r="AA93" s="25">
        <f t="shared" si="0"/>
        <v>10</v>
      </c>
      <c r="AB93" s="25">
        <f t="shared" si="0"/>
        <v>11</v>
      </c>
      <c r="AC93" s="25">
        <f t="shared" si="0"/>
        <v>9</v>
      </c>
      <c r="AD93" s="25">
        <f t="shared" si="0"/>
        <v>9</v>
      </c>
      <c r="AE93" s="25">
        <f t="shared" si="0"/>
        <v>14</v>
      </c>
      <c r="AF93" s="25">
        <f t="shared" si="0"/>
        <v>14</v>
      </c>
      <c r="AG93" s="25">
        <f t="shared" si="0"/>
        <v>13</v>
      </c>
      <c r="AH93" s="25">
        <f t="shared" si="0"/>
        <v>11</v>
      </c>
      <c r="AI93" s="25">
        <f t="shared" si="0"/>
        <v>13</v>
      </c>
      <c r="AJ93" s="25">
        <f t="shared" si="0"/>
        <v>14</v>
      </c>
      <c r="AK93" s="25">
        <f t="shared" si="0"/>
        <v>14</v>
      </c>
      <c r="AL93" s="25">
        <f t="shared" si="0"/>
        <v>21</v>
      </c>
      <c r="AM93" s="25">
        <f t="shared" si="0"/>
        <v>20</v>
      </c>
      <c r="AN93" s="25">
        <f t="shared" si="0"/>
        <v>18</v>
      </c>
      <c r="AO93" s="25">
        <f t="shared" si="0"/>
        <v>16</v>
      </c>
      <c r="AP93" s="25">
        <f t="shared" si="0"/>
        <v>15</v>
      </c>
      <c r="AQ93" s="25">
        <f t="shared" ref="AQ93:BV93" si="1">+COUNTIF(AQ5:AQ91,"OUI")</f>
        <v>22</v>
      </c>
      <c r="AR93" s="25">
        <f t="shared" si="1"/>
        <v>20</v>
      </c>
      <c r="AS93" s="25">
        <f t="shared" si="1"/>
        <v>15</v>
      </c>
      <c r="AT93" s="25">
        <f t="shared" si="1"/>
        <v>14</v>
      </c>
      <c r="AU93" s="25">
        <f t="shared" si="1"/>
        <v>13</v>
      </c>
      <c r="AV93" s="25">
        <f t="shared" si="1"/>
        <v>13</v>
      </c>
      <c r="AW93" s="25">
        <f t="shared" si="1"/>
        <v>18</v>
      </c>
      <c r="AX93" s="25">
        <f t="shared" si="1"/>
        <v>18</v>
      </c>
      <c r="AY93" s="25">
        <f t="shared" si="1"/>
        <v>18</v>
      </c>
      <c r="AZ93" s="25">
        <f t="shared" si="1"/>
        <v>17</v>
      </c>
      <c r="BA93" s="25">
        <f t="shared" si="1"/>
        <v>18</v>
      </c>
      <c r="BB93" s="25">
        <f t="shared" si="1"/>
        <v>21</v>
      </c>
      <c r="BC93" s="25">
        <f t="shared" si="1"/>
        <v>20</v>
      </c>
      <c r="BD93" s="25">
        <f t="shared" si="1"/>
        <v>10</v>
      </c>
      <c r="BE93" s="25">
        <f t="shared" si="1"/>
        <v>10</v>
      </c>
      <c r="BF93" s="25">
        <f t="shared" si="1"/>
        <v>9</v>
      </c>
      <c r="BG93" s="25">
        <f t="shared" si="1"/>
        <v>9</v>
      </c>
      <c r="BH93" s="25">
        <f t="shared" si="1"/>
        <v>8</v>
      </c>
      <c r="BI93" s="25">
        <f t="shared" si="1"/>
        <v>6</v>
      </c>
      <c r="BJ93" s="25">
        <f t="shared" si="1"/>
        <v>6</v>
      </c>
      <c r="BK93" s="25">
        <f t="shared" si="1"/>
        <v>6</v>
      </c>
      <c r="BL93" s="25">
        <f t="shared" si="1"/>
        <v>6</v>
      </c>
      <c r="BM93" s="25">
        <f t="shared" si="1"/>
        <v>6</v>
      </c>
      <c r="BN93" s="25">
        <f t="shared" si="1"/>
        <v>9</v>
      </c>
      <c r="BO93" s="25">
        <f t="shared" si="1"/>
        <v>9</v>
      </c>
      <c r="BP93" s="25">
        <f t="shared" si="1"/>
        <v>10</v>
      </c>
      <c r="BQ93" s="25">
        <f t="shared" si="1"/>
        <v>7</v>
      </c>
      <c r="BR93" s="25">
        <f t="shared" si="1"/>
        <v>7</v>
      </c>
      <c r="BS93" s="25">
        <f t="shared" si="1"/>
        <v>10</v>
      </c>
      <c r="BT93" s="25">
        <f t="shared" si="1"/>
        <v>10</v>
      </c>
      <c r="BU93" s="25">
        <f t="shared" si="1"/>
        <v>10</v>
      </c>
      <c r="BV93" s="12">
        <f t="shared" si="1"/>
        <v>8</v>
      </c>
      <c r="BW93" s="12">
        <f t="shared" ref="BW93:DB93" si="2">+COUNTIF(BW5:BW91,"OUI")</f>
        <v>5</v>
      </c>
      <c r="BX93" s="12">
        <f t="shared" si="2"/>
        <v>8</v>
      </c>
      <c r="BY93" s="12">
        <f t="shared" si="2"/>
        <v>5</v>
      </c>
      <c r="BZ93" s="12">
        <f t="shared" si="2"/>
        <v>9</v>
      </c>
      <c r="CA93" s="12">
        <f t="shared" si="2"/>
        <v>10</v>
      </c>
      <c r="CB93" s="12">
        <f t="shared" si="2"/>
        <v>10</v>
      </c>
      <c r="CC93" s="12">
        <f t="shared" si="2"/>
        <v>10</v>
      </c>
      <c r="CD93" s="12">
        <f t="shared" si="2"/>
        <v>8</v>
      </c>
      <c r="CE93" s="12">
        <f t="shared" si="2"/>
        <v>7</v>
      </c>
      <c r="CF93" s="12">
        <f t="shared" si="2"/>
        <v>9</v>
      </c>
      <c r="CG93" s="12">
        <f t="shared" si="2"/>
        <v>12</v>
      </c>
      <c r="CH93" s="12">
        <f t="shared" si="2"/>
        <v>12</v>
      </c>
      <c r="CI93" s="12">
        <f t="shared" si="2"/>
        <v>9</v>
      </c>
      <c r="CJ93" s="12">
        <f t="shared" si="2"/>
        <v>8</v>
      </c>
      <c r="CK93" s="12">
        <f t="shared" si="2"/>
        <v>12</v>
      </c>
      <c r="CL93" s="12">
        <f t="shared" si="2"/>
        <v>12</v>
      </c>
      <c r="CM93" s="25">
        <f t="shared" si="2"/>
        <v>11</v>
      </c>
      <c r="CN93" s="25">
        <f t="shared" si="2"/>
        <v>23</v>
      </c>
      <c r="CO93" s="25">
        <f t="shared" si="2"/>
        <v>23</v>
      </c>
      <c r="CP93" s="25">
        <f t="shared" si="2"/>
        <v>20</v>
      </c>
      <c r="CQ93" s="25">
        <f t="shared" si="2"/>
        <v>18</v>
      </c>
      <c r="CR93" s="25">
        <f t="shared" si="2"/>
        <v>20</v>
      </c>
      <c r="CS93" s="25">
        <f t="shared" si="2"/>
        <v>21</v>
      </c>
      <c r="CT93" s="25">
        <f t="shared" si="2"/>
        <v>25</v>
      </c>
      <c r="CU93" s="25">
        <f t="shared" si="2"/>
        <v>24</v>
      </c>
      <c r="CV93" s="25">
        <f t="shared" si="2"/>
        <v>20</v>
      </c>
      <c r="CW93" s="25">
        <f t="shared" si="2"/>
        <v>19</v>
      </c>
      <c r="CX93" s="25">
        <f t="shared" si="2"/>
        <v>23</v>
      </c>
      <c r="CY93" s="25">
        <f t="shared" si="2"/>
        <v>24</v>
      </c>
      <c r="CZ93" s="25">
        <f t="shared" si="2"/>
        <v>25</v>
      </c>
      <c r="DA93" s="25">
        <f t="shared" si="2"/>
        <v>21</v>
      </c>
      <c r="DB93" s="25">
        <f t="shared" si="2"/>
        <v>21</v>
      </c>
      <c r="DC93" s="25">
        <f t="shared" ref="DC93:DX93" si="3">+COUNTIF(DC5:DC91,"OUI")</f>
        <v>25</v>
      </c>
      <c r="DD93" s="25">
        <f t="shared" si="3"/>
        <v>25</v>
      </c>
      <c r="DE93" s="25">
        <f t="shared" si="3"/>
        <v>24</v>
      </c>
      <c r="DF93" s="25">
        <f t="shared" si="3"/>
        <v>21</v>
      </c>
      <c r="DG93" s="25">
        <f t="shared" si="3"/>
        <v>21</v>
      </c>
      <c r="DH93" s="25">
        <f t="shared" si="3"/>
        <v>19</v>
      </c>
      <c r="DI93" s="25">
        <f t="shared" si="3"/>
        <v>17</v>
      </c>
      <c r="DJ93" s="25">
        <f t="shared" si="3"/>
        <v>21</v>
      </c>
      <c r="DK93" s="25">
        <f t="shared" si="3"/>
        <v>21</v>
      </c>
      <c r="DL93" s="25">
        <f t="shared" si="3"/>
        <v>22</v>
      </c>
      <c r="DM93" s="25">
        <f t="shared" si="3"/>
        <v>20</v>
      </c>
      <c r="DN93" s="25">
        <f t="shared" si="3"/>
        <v>18</v>
      </c>
      <c r="DO93" s="25">
        <f t="shared" si="3"/>
        <v>17</v>
      </c>
      <c r="DP93" s="25">
        <f t="shared" si="3"/>
        <v>20</v>
      </c>
      <c r="DQ93" s="25">
        <f t="shared" si="3"/>
        <v>22</v>
      </c>
      <c r="DR93" s="25">
        <f t="shared" si="3"/>
        <v>22</v>
      </c>
      <c r="DS93" s="25">
        <f t="shared" si="3"/>
        <v>18</v>
      </c>
      <c r="DT93" s="25">
        <f t="shared" si="3"/>
        <v>18</v>
      </c>
      <c r="DU93" s="25">
        <f t="shared" si="3"/>
        <v>22</v>
      </c>
      <c r="DV93" s="25">
        <f t="shared" si="3"/>
        <v>22</v>
      </c>
      <c r="DW93" s="25">
        <f t="shared" si="3"/>
        <v>22</v>
      </c>
      <c r="DX93" s="25">
        <f t="shared" si="3"/>
        <v>0</v>
      </c>
    </row>
    <row r="94" spans="1:128" ht="15">
      <c r="A94" s="4"/>
      <c r="B94" s="4"/>
      <c r="C94" s="48"/>
      <c r="D94" s="4"/>
      <c r="E94" s="4"/>
      <c r="F94" s="4"/>
      <c r="G94" s="4"/>
      <c r="H94" s="4"/>
      <c r="I94" s="4"/>
      <c r="J94" s="8"/>
      <c r="K94" s="32">
        <f>+COUNTIF(K4:K93,"Fruits et légumes")</f>
        <v>10</v>
      </c>
      <c r="L94" s="4" t="s">
        <v>101</v>
      </c>
      <c r="M94" s="8"/>
      <c r="N94" s="4">
        <f t="shared" ref="N94:AS94" si="4">COUNTIFS($K$4:$K$91,$K$12,N4:N91,$N$16)</f>
        <v>10</v>
      </c>
      <c r="O94" s="4">
        <f t="shared" si="4"/>
        <v>2</v>
      </c>
      <c r="P94" s="4">
        <f t="shared" si="4"/>
        <v>0</v>
      </c>
      <c r="Q94" s="4">
        <f t="shared" si="4"/>
        <v>0</v>
      </c>
      <c r="R94" s="4">
        <f t="shared" si="4"/>
        <v>1</v>
      </c>
      <c r="S94" s="4">
        <f t="shared" si="4"/>
        <v>0</v>
      </c>
      <c r="T94" s="4">
        <f t="shared" si="4"/>
        <v>0</v>
      </c>
      <c r="U94" s="4">
        <f t="shared" si="4"/>
        <v>0</v>
      </c>
      <c r="V94" s="4">
        <f t="shared" si="4"/>
        <v>1</v>
      </c>
      <c r="W94" s="4">
        <f t="shared" si="4"/>
        <v>1</v>
      </c>
      <c r="X94" s="4">
        <f t="shared" si="4"/>
        <v>1</v>
      </c>
      <c r="Y94" s="4">
        <f t="shared" si="4"/>
        <v>1</v>
      </c>
      <c r="Z94" s="4">
        <f t="shared" si="4"/>
        <v>1</v>
      </c>
      <c r="AA94" s="4">
        <f t="shared" si="4"/>
        <v>1</v>
      </c>
      <c r="AB94" s="4">
        <f t="shared" si="4"/>
        <v>1</v>
      </c>
      <c r="AC94" s="4">
        <f t="shared" si="4"/>
        <v>1</v>
      </c>
      <c r="AD94" s="4">
        <f t="shared" si="4"/>
        <v>1</v>
      </c>
      <c r="AE94" s="4">
        <f t="shared" si="4"/>
        <v>1</v>
      </c>
      <c r="AF94" s="4">
        <f t="shared" si="4"/>
        <v>1</v>
      </c>
      <c r="AG94" s="4">
        <f t="shared" si="4"/>
        <v>1</v>
      </c>
      <c r="AH94" s="4">
        <f t="shared" si="4"/>
        <v>1</v>
      </c>
      <c r="AI94" s="4">
        <f t="shared" si="4"/>
        <v>1</v>
      </c>
      <c r="AJ94" s="4">
        <f t="shared" si="4"/>
        <v>1</v>
      </c>
      <c r="AK94" s="4">
        <f t="shared" si="4"/>
        <v>1</v>
      </c>
      <c r="AL94" s="4">
        <f t="shared" si="4"/>
        <v>4</v>
      </c>
      <c r="AM94" s="4">
        <f t="shared" si="4"/>
        <v>4</v>
      </c>
      <c r="AN94" s="4">
        <f t="shared" si="4"/>
        <v>2</v>
      </c>
      <c r="AO94" s="4">
        <f t="shared" si="4"/>
        <v>1</v>
      </c>
      <c r="AP94" s="4">
        <f t="shared" si="4"/>
        <v>2</v>
      </c>
      <c r="AQ94" s="4">
        <f t="shared" si="4"/>
        <v>4</v>
      </c>
      <c r="AR94" s="4">
        <f t="shared" si="4"/>
        <v>3</v>
      </c>
      <c r="AS94" s="4">
        <f t="shared" si="4"/>
        <v>2</v>
      </c>
      <c r="AT94" s="4">
        <f t="shared" ref="AT94:BY94" si="5">COUNTIFS($K$4:$K$91,$K$12,AT4:AT91,$N$16)</f>
        <v>2</v>
      </c>
      <c r="AU94" s="4">
        <f t="shared" si="5"/>
        <v>2</v>
      </c>
      <c r="AV94" s="4">
        <f t="shared" si="5"/>
        <v>2</v>
      </c>
      <c r="AW94" s="4">
        <f t="shared" si="5"/>
        <v>4</v>
      </c>
      <c r="AX94" s="4">
        <f t="shared" si="5"/>
        <v>2</v>
      </c>
      <c r="AY94" s="4">
        <f t="shared" si="5"/>
        <v>3</v>
      </c>
      <c r="AZ94" s="4">
        <f t="shared" si="5"/>
        <v>3</v>
      </c>
      <c r="BA94" s="4">
        <f t="shared" si="5"/>
        <v>3</v>
      </c>
      <c r="BB94" s="4">
        <f t="shared" si="5"/>
        <v>4</v>
      </c>
      <c r="BC94" s="4">
        <f t="shared" si="5"/>
        <v>4</v>
      </c>
      <c r="BD94" s="4">
        <f t="shared" si="5"/>
        <v>0</v>
      </c>
      <c r="BE94" s="4">
        <f t="shared" si="5"/>
        <v>0</v>
      </c>
      <c r="BF94" s="4">
        <f t="shared" si="5"/>
        <v>0</v>
      </c>
      <c r="BG94" s="4">
        <f t="shared" si="5"/>
        <v>0</v>
      </c>
      <c r="BH94" s="4">
        <f t="shared" si="5"/>
        <v>0</v>
      </c>
      <c r="BI94" s="4">
        <f t="shared" si="5"/>
        <v>0</v>
      </c>
      <c r="BJ94" s="4">
        <f t="shared" si="5"/>
        <v>0</v>
      </c>
      <c r="BK94" s="4">
        <f t="shared" si="5"/>
        <v>0</v>
      </c>
      <c r="BL94" s="4">
        <f t="shared" si="5"/>
        <v>0</v>
      </c>
      <c r="BM94" s="4">
        <f t="shared" si="5"/>
        <v>0</v>
      </c>
      <c r="BN94" s="4">
        <f t="shared" si="5"/>
        <v>0</v>
      </c>
      <c r="BO94" s="4">
        <f t="shared" si="5"/>
        <v>0</v>
      </c>
      <c r="BP94" s="4">
        <f t="shared" si="5"/>
        <v>0</v>
      </c>
      <c r="BQ94" s="4">
        <f t="shared" si="5"/>
        <v>0</v>
      </c>
      <c r="BR94" s="4">
        <f t="shared" si="5"/>
        <v>0</v>
      </c>
      <c r="BS94" s="4">
        <f t="shared" si="5"/>
        <v>0</v>
      </c>
      <c r="BT94" s="4">
        <f t="shared" si="5"/>
        <v>0</v>
      </c>
      <c r="BU94" s="4">
        <f t="shared" si="5"/>
        <v>0</v>
      </c>
      <c r="BV94" s="4">
        <f t="shared" si="5"/>
        <v>1</v>
      </c>
      <c r="BW94" s="4">
        <f t="shared" si="5"/>
        <v>1</v>
      </c>
      <c r="BX94" s="4">
        <f t="shared" si="5"/>
        <v>1</v>
      </c>
      <c r="BY94" s="4">
        <f t="shared" si="5"/>
        <v>1</v>
      </c>
      <c r="BZ94" s="4">
        <f t="shared" ref="BZ94:DE94" si="6">COUNTIFS($K$4:$K$91,$K$12,BZ4:BZ91,$N$16)</f>
        <v>1</v>
      </c>
      <c r="CA94" s="4">
        <f t="shared" si="6"/>
        <v>2</v>
      </c>
      <c r="CB94" s="4">
        <f t="shared" si="6"/>
        <v>2</v>
      </c>
      <c r="CC94" s="4">
        <f t="shared" si="6"/>
        <v>2</v>
      </c>
      <c r="CD94" s="4">
        <f t="shared" si="6"/>
        <v>2</v>
      </c>
      <c r="CE94" s="4">
        <f t="shared" si="6"/>
        <v>2</v>
      </c>
      <c r="CF94" s="4">
        <f t="shared" si="6"/>
        <v>2</v>
      </c>
      <c r="CG94" s="4">
        <f t="shared" si="6"/>
        <v>3</v>
      </c>
      <c r="CH94" s="4">
        <f t="shared" si="6"/>
        <v>3</v>
      </c>
      <c r="CI94" s="4">
        <f t="shared" si="6"/>
        <v>3</v>
      </c>
      <c r="CJ94" s="4">
        <f t="shared" si="6"/>
        <v>3</v>
      </c>
      <c r="CK94" s="4">
        <f t="shared" si="6"/>
        <v>3</v>
      </c>
      <c r="CL94" s="4">
        <f t="shared" si="6"/>
        <v>3</v>
      </c>
      <c r="CM94" s="4">
        <f t="shared" si="6"/>
        <v>2</v>
      </c>
      <c r="CN94" s="4">
        <f t="shared" si="6"/>
        <v>3</v>
      </c>
      <c r="CO94" s="4">
        <f t="shared" si="6"/>
        <v>3</v>
      </c>
      <c r="CP94" s="4">
        <f t="shared" si="6"/>
        <v>3</v>
      </c>
      <c r="CQ94" s="4">
        <f t="shared" si="6"/>
        <v>3</v>
      </c>
      <c r="CR94" s="4">
        <f t="shared" si="6"/>
        <v>1</v>
      </c>
      <c r="CS94" s="4">
        <f t="shared" si="6"/>
        <v>1</v>
      </c>
      <c r="CT94" s="5">
        <f t="shared" si="6"/>
        <v>4</v>
      </c>
      <c r="CU94">
        <f t="shared" si="6"/>
        <v>4</v>
      </c>
      <c r="CV94">
        <f t="shared" si="6"/>
        <v>4</v>
      </c>
      <c r="CW94">
        <f t="shared" si="6"/>
        <v>4</v>
      </c>
      <c r="CX94">
        <f t="shared" si="6"/>
        <v>4</v>
      </c>
      <c r="CY94">
        <f t="shared" si="6"/>
        <v>4</v>
      </c>
      <c r="CZ94">
        <f t="shared" si="6"/>
        <v>4</v>
      </c>
      <c r="DA94">
        <f t="shared" si="6"/>
        <v>4</v>
      </c>
      <c r="DB94">
        <f t="shared" si="6"/>
        <v>4</v>
      </c>
      <c r="DC94">
        <f t="shared" si="6"/>
        <v>4</v>
      </c>
      <c r="DD94">
        <f t="shared" si="6"/>
        <v>4</v>
      </c>
      <c r="DE94">
        <f t="shared" si="6"/>
        <v>4</v>
      </c>
      <c r="DF94">
        <f t="shared" ref="DF94:DW94" si="7">COUNTIFS($K$4:$K$91,$K$12,DF4:DF91,$N$16)</f>
        <v>3</v>
      </c>
      <c r="DG94">
        <f t="shared" si="7"/>
        <v>3</v>
      </c>
      <c r="DH94">
        <f t="shared" si="7"/>
        <v>3</v>
      </c>
      <c r="DI94">
        <f t="shared" si="7"/>
        <v>3</v>
      </c>
      <c r="DJ94">
        <f t="shared" si="7"/>
        <v>3</v>
      </c>
      <c r="DK94">
        <f t="shared" si="7"/>
        <v>3</v>
      </c>
      <c r="DL94">
        <f t="shared" si="7"/>
        <v>3</v>
      </c>
      <c r="DM94">
        <f t="shared" si="7"/>
        <v>3</v>
      </c>
      <c r="DN94">
        <f t="shared" si="7"/>
        <v>3</v>
      </c>
      <c r="DO94">
        <f t="shared" si="7"/>
        <v>3</v>
      </c>
      <c r="DP94">
        <f t="shared" si="7"/>
        <v>3</v>
      </c>
      <c r="DQ94">
        <f t="shared" si="7"/>
        <v>3</v>
      </c>
      <c r="DR94">
        <f t="shared" si="7"/>
        <v>3</v>
      </c>
      <c r="DS94">
        <f t="shared" si="7"/>
        <v>3</v>
      </c>
      <c r="DT94">
        <f t="shared" si="7"/>
        <v>3</v>
      </c>
      <c r="DU94">
        <f t="shared" si="7"/>
        <v>3</v>
      </c>
      <c r="DV94">
        <f t="shared" si="7"/>
        <v>3</v>
      </c>
      <c r="DW94">
        <f t="shared" si="7"/>
        <v>3</v>
      </c>
      <c r="DX94" t="s">
        <v>36</v>
      </c>
    </row>
    <row r="95" spans="1:128" ht="15">
      <c r="A95" s="4"/>
      <c r="B95" s="4"/>
      <c r="C95" s="48"/>
      <c r="D95" s="4"/>
      <c r="E95" s="4"/>
      <c r="F95" s="4"/>
      <c r="G95" s="4"/>
      <c r="H95" s="4"/>
      <c r="I95" s="4"/>
      <c r="J95" s="8"/>
      <c r="K95" s="32">
        <f>+COUNTIF(K4:K94,"Volaile de chair")</f>
        <v>10</v>
      </c>
      <c r="L95" s="25" t="s">
        <v>74</v>
      </c>
      <c r="M95" s="8"/>
      <c r="N95" s="4">
        <f t="shared" ref="N95:AS95" si="8">COUNTIFS($K$4:$K$91,$K$18,N4:N91,$N$6)</f>
        <v>9</v>
      </c>
      <c r="O95" s="4">
        <f t="shared" si="8"/>
        <v>4</v>
      </c>
      <c r="P95" s="4">
        <f t="shared" si="8"/>
        <v>2</v>
      </c>
      <c r="Q95" s="4">
        <f t="shared" si="8"/>
        <v>2</v>
      </c>
      <c r="R95" s="4">
        <f t="shared" si="8"/>
        <v>1</v>
      </c>
      <c r="S95" s="4">
        <f t="shared" si="8"/>
        <v>1</v>
      </c>
      <c r="T95" s="4">
        <f t="shared" si="8"/>
        <v>2</v>
      </c>
      <c r="U95" s="4">
        <f t="shared" si="8"/>
        <v>2</v>
      </c>
      <c r="V95" s="4">
        <f t="shared" si="8"/>
        <v>6</v>
      </c>
      <c r="W95" s="4">
        <f t="shared" si="8"/>
        <v>5</v>
      </c>
      <c r="X95" s="4">
        <f t="shared" si="8"/>
        <v>6</v>
      </c>
      <c r="Y95" s="4">
        <f t="shared" si="8"/>
        <v>3</v>
      </c>
      <c r="Z95" s="4">
        <f t="shared" si="8"/>
        <v>3</v>
      </c>
      <c r="AA95" s="4">
        <f t="shared" si="8"/>
        <v>3</v>
      </c>
      <c r="AB95" s="4">
        <f t="shared" si="8"/>
        <v>4</v>
      </c>
      <c r="AC95" s="4">
        <f t="shared" si="8"/>
        <v>2</v>
      </c>
      <c r="AD95" s="4">
        <f t="shared" si="8"/>
        <v>2</v>
      </c>
      <c r="AE95" s="4">
        <f t="shared" si="8"/>
        <v>6</v>
      </c>
      <c r="AF95" s="4">
        <f t="shared" si="8"/>
        <v>6</v>
      </c>
      <c r="AG95" s="4">
        <f t="shared" si="8"/>
        <v>6</v>
      </c>
      <c r="AH95" s="4">
        <f t="shared" si="8"/>
        <v>4</v>
      </c>
      <c r="AI95" s="4">
        <f t="shared" si="8"/>
        <v>5</v>
      </c>
      <c r="AJ95" s="4">
        <f t="shared" si="8"/>
        <v>6</v>
      </c>
      <c r="AK95" s="4">
        <f t="shared" si="8"/>
        <v>6</v>
      </c>
      <c r="AL95" s="4">
        <f t="shared" si="8"/>
        <v>3</v>
      </c>
      <c r="AM95" s="4">
        <f t="shared" si="8"/>
        <v>3</v>
      </c>
      <c r="AN95" s="4">
        <f t="shared" si="8"/>
        <v>4</v>
      </c>
      <c r="AO95" s="4">
        <f t="shared" si="8"/>
        <v>3</v>
      </c>
      <c r="AP95" s="4">
        <f t="shared" si="8"/>
        <v>2</v>
      </c>
      <c r="AQ95" s="4">
        <f t="shared" si="8"/>
        <v>5</v>
      </c>
      <c r="AR95" s="4">
        <f t="shared" si="8"/>
        <v>5</v>
      </c>
      <c r="AS95" s="4">
        <f t="shared" si="8"/>
        <v>2</v>
      </c>
      <c r="AT95" s="4">
        <f t="shared" ref="AT95:BY95" si="9">COUNTIFS($K$4:$K$91,$K$18,AT4:AT91,$N$6)</f>
        <v>1</v>
      </c>
      <c r="AU95" s="4">
        <f t="shared" si="9"/>
        <v>1</v>
      </c>
      <c r="AV95" s="4">
        <f t="shared" si="9"/>
        <v>1</v>
      </c>
      <c r="AW95" s="4">
        <f t="shared" si="9"/>
        <v>3</v>
      </c>
      <c r="AX95" s="4">
        <f t="shared" si="9"/>
        <v>3</v>
      </c>
      <c r="AY95" s="4">
        <f t="shared" si="9"/>
        <v>3</v>
      </c>
      <c r="AZ95" s="4">
        <f t="shared" si="9"/>
        <v>3</v>
      </c>
      <c r="BA95" s="4">
        <f t="shared" si="9"/>
        <v>3</v>
      </c>
      <c r="BB95" s="4">
        <f t="shared" si="9"/>
        <v>4</v>
      </c>
      <c r="BC95" s="4">
        <f t="shared" si="9"/>
        <v>3</v>
      </c>
      <c r="BD95" s="4">
        <f t="shared" si="9"/>
        <v>2</v>
      </c>
      <c r="BE95" s="4">
        <f t="shared" si="9"/>
        <v>2</v>
      </c>
      <c r="BF95" s="4">
        <f t="shared" si="9"/>
        <v>2</v>
      </c>
      <c r="BG95" s="4">
        <f t="shared" si="9"/>
        <v>2</v>
      </c>
      <c r="BH95" s="4">
        <f t="shared" si="9"/>
        <v>2</v>
      </c>
      <c r="BI95" s="4">
        <f t="shared" si="9"/>
        <v>0</v>
      </c>
      <c r="BJ95" s="4">
        <f t="shared" si="9"/>
        <v>0</v>
      </c>
      <c r="BK95" s="4">
        <f t="shared" si="9"/>
        <v>0</v>
      </c>
      <c r="BL95" s="4">
        <f t="shared" si="9"/>
        <v>0</v>
      </c>
      <c r="BM95" s="4">
        <f t="shared" si="9"/>
        <v>0</v>
      </c>
      <c r="BN95" s="4">
        <f t="shared" si="9"/>
        <v>2</v>
      </c>
      <c r="BO95" s="4">
        <f t="shared" si="9"/>
        <v>2</v>
      </c>
      <c r="BP95" s="4">
        <f t="shared" si="9"/>
        <v>2</v>
      </c>
      <c r="BQ95" s="4">
        <f t="shared" si="9"/>
        <v>0</v>
      </c>
      <c r="BR95" s="4">
        <f t="shared" si="9"/>
        <v>0</v>
      </c>
      <c r="BS95" s="4">
        <f t="shared" si="9"/>
        <v>2</v>
      </c>
      <c r="BT95" s="4">
        <f t="shared" si="9"/>
        <v>2</v>
      </c>
      <c r="BU95" s="4">
        <f t="shared" si="9"/>
        <v>2</v>
      </c>
      <c r="BV95" s="4">
        <f t="shared" si="9"/>
        <v>2</v>
      </c>
      <c r="BW95" s="4">
        <f t="shared" si="9"/>
        <v>0</v>
      </c>
      <c r="BX95" s="4">
        <f t="shared" si="9"/>
        <v>2</v>
      </c>
      <c r="BY95" s="4">
        <f t="shared" si="9"/>
        <v>0</v>
      </c>
      <c r="BZ95" s="4">
        <f t="shared" ref="BZ95:DE95" si="10">COUNTIFS($K$4:$K$91,$K$18,BZ4:BZ91,$N$6)</f>
        <v>2</v>
      </c>
      <c r="CA95" s="4">
        <f t="shared" si="10"/>
        <v>2</v>
      </c>
      <c r="CB95" s="4">
        <f t="shared" si="10"/>
        <v>2</v>
      </c>
      <c r="CC95" s="4">
        <f t="shared" si="10"/>
        <v>2</v>
      </c>
      <c r="CD95" s="4">
        <f t="shared" si="10"/>
        <v>0</v>
      </c>
      <c r="CE95" s="4">
        <f t="shared" si="10"/>
        <v>0</v>
      </c>
      <c r="CF95" s="4">
        <f t="shared" si="10"/>
        <v>2</v>
      </c>
      <c r="CG95" s="4">
        <f t="shared" si="10"/>
        <v>2</v>
      </c>
      <c r="CH95" s="4">
        <f t="shared" si="10"/>
        <v>2</v>
      </c>
      <c r="CI95" s="4">
        <f t="shared" si="10"/>
        <v>0</v>
      </c>
      <c r="CJ95" s="4">
        <f t="shared" si="10"/>
        <v>0</v>
      </c>
      <c r="CK95" s="4">
        <f t="shared" si="10"/>
        <v>2</v>
      </c>
      <c r="CL95" s="4">
        <f t="shared" si="10"/>
        <v>2</v>
      </c>
      <c r="CM95" s="4">
        <f t="shared" si="10"/>
        <v>2</v>
      </c>
      <c r="CN95" s="4">
        <f t="shared" si="10"/>
        <v>3</v>
      </c>
      <c r="CO95" s="4">
        <f t="shared" si="10"/>
        <v>3</v>
      </c>
      <c r="CP95" s="4">
        <f t="shared" si="10"/>
        <v>3</v>
      </c>
      <c r="CQ95" s="4">
        <f t="shared" si="10"/>
        <v>1</v>
      </c>
      <c r="CR95" s="4">
        <f t="shared" si="10"/>
        <v>3</v>
      </c>
      <c r="CS95" s="4">
        <f t="shared" si="10"/>
        <v>3</v>
      </c>
      <c r="CT95" s="5">
        <f t="shared" si="10"/>
        <v>3</v>
      </c>
      <c r="CU95">
        <f t="shared" si="10"/>
        <v>3</v>
      </c>
      <c r="CV95">
        <f t="shared" si="10"/>
        <v>1</v>
      </c>
      <c r="CW95">
        <f t="shared" si="10"/>
        <v>1</v>
      </c>
      <c r="CX95">
        <f t="shared" si="10"/>
        <v>3</v>
      </c>
      <c r="CY95">
        <f t="shared" si="10"/>
        <v>3</v>
      </c>
      <c r="CZ95">
        <f t="shared" si="10"/>
        <v>3</v>
      </c>
      <c r="DA95">
        <f t="shared" si="10"/>
        <v>1</v>
      </c>
      <c r="DB95">
        <f t="shared" si="10"/>
        <v>1</v>
      </c>
      <c r="DC95">
        <f t="shared" si="10"/>
        <v>3</v>
      </c>
      <c r="DD95">
        <f t="shared" si="10"/>
        <v>3</v>
      </c>
      <c r="DE95">
        <f t="shared" si="10"/>
        <v>3</v>
      </c>
      <c r="DF95">
        <f t="shared" ref="DF95:DW95" si="11">COUNTIFS($K$4:$K$91,$K$18,DF4:DF91,$N$6)</f>
        <v>3</v>
      </c>
      <c r="DG95">
        <f t="shared" si="11"/>
        <v>3</v>
      </c>
      <c r="DH95">
        <f t="shared" si="11"/>
        <v>3</v>
      </c>
      <c r="DI95">
        <f t="shared" si="11"/>
        <v>1</v>
      </c>
      <c r="DJ95">
        <f t="shared" si="11"/>
        <v>3</v>
      </c>
      <c r="DK95">
        <f t="shared" si="11"/>
        <v>3</v>
      </c>
      <c r="DL95">
        <f t="shared" si="11"/>
        <v>3</v>
      </c>
      <c r="DM95">
        <f t="shared" si="11"/>
        <v>3</v>
      </c>
      <c r="DN95">
        <f t="shared" si="11"/>
        <v>1</v>
      </c>
      <c r="DO95">
        <f t="shared" si="11"/>
        <v>1</v>
      </c>
      <c r="DP95">
        <f t="shared" si="11"/>
        <v>3</v>
      </c>
      <c r="DQ95">
        <f t="shared" si="11"/>
        <v>3</v>
      </c>
      <c r="DR95">
        <f t="shared" si="11"/>
        <v>3</v>
      </c>
      <c r="DS95">
        <f t="shared" si="11"/>
        <v>1</v>
      </c>
      <c r="DT95">
        <f t="shared" si="11"/>
        <v>1</v>
      </c>
      <c r="DU95">
        <f t="shared" si="11"/>
        <v>3</v>
      </c>
      <c r="DV95">
        <f t="shared" si="11"/>
        <v>3</v>
      </c>
      <c r="DW95">
        <f t="shared" si="11"/>
        <v>3</v>
      </c>
      <c r="DX95" t="s">
        <v>36</v>
      </c>
    </row>
    <row r="96" spans="1:128" ht="15">
      <c r="A96" s="4"/>
      <c r="B96" s="4"/>
      <c r="C96" s="48"/>
      <c r="D96" s="4"/>
      <c r="E96" s="4"/>
      <c r="F96" s="4"/>
      <c r="G96" s="4"/>
      <c r="H96" s="4"/>
      <c r="I96" s="4"/>
      <c r="J96" s="8"/>
      <c r="K96" s="32">
        <f>+COUNTIF(K5:K95,K21)</f>
        <v>4</v>
      </c>
      <c r="L96" s="4" t="s">
        <v>42</v>
      </c>
      <c r="M96" s="8"/>
      <c r="N96" s="4">
        <f t="shared" ref="N96:AS96" si="12">COUNTIFS($K$4:$K$91,$K$21,N4:N91,$N$6)</f>
        <v>4</v>
      </c>
      <c r="O96" s="4">
        <f t="shared" si="12"/>
        <v>2</v>
      </c>
      <c r="P96" s="4">
        <f t="shared" si="12"/>
        <v>1</v>
      </c>
      <c r="Q96" s="4">
        <f t="shared" si="12"/>
        <v>2</v>
      </c>
      <c r="R96" s="4">
        <f t="shared" si="12"/>
        <v>0</v>
      </c>
      <c r="S96" s="4">
        <f t="shared" si="12"/>
        <v>0</v>
      </c>
      <c r="T96" s="4">
        <f t="shared" si="12"/>
        <v>1</v>
      </c>
      <c r="U96" s="4">
        <f t="shared" si="12"/>
        <v>1</v>
      </c>
      <c r="V96" s="4">
        <f t="shared" si="12"/>
        <v>2</v>
      </c>
      <c r="W96" s="4">
        <f t="shared" si="12"/>
        <v>0</v>
      </c>
      <c r="X96" s="4">
        <f t="shared" si="12"/>
        <v>0</v>
      </c>
      <c r="Y96" s="4">
        <f t="shared" si="12"/>
        <v>2</v>
      </c>
      <c r="Z96" s="4">
        <f t="shared" si="12"/>
        <v>2</v>
      </c>
      <c r="AA96" s="4">
        <f t="shared" si="12"/>
        <v>2</v>
      </c>
      <c r="AB96" s="4">
        <f t="shared" si="12"/>
        <v>2</v>
      </c>
      <c r="AC96" s="4">
        <f t="shared" si="12"/>
        <v>2</v>
      </c>
      <c r="AD96" s="4">
        <f t="shared" si="12"/>
        <v>2</v>
      </c>
      <c r="AE96" s="4">
        <f t="shared" si="12"/>
        <v>2</v>
      </c>
      <c r="AF96" s="4">
        <f t="shared" si="12"/>
        <v>2</v>
      </c>
      <c r="AG96" s="4">
        <f t="shared" si="12"/>
        <v>2</v>
      </c>
      <c r="AH96" s="4">
        <f t="shared" si="12"/>
        <v>2</v>
      </c>
      <c r="AI96" s="4">
        <f t="shared" si="12"/>
        <v>2</v>
      </c>
      <c r="AJ96" s="4">
        <f t="shared" si="12"/>
        <v>2</v>
      </c>
      <c r="AK96" s="4">
        <f t="shared" si="12"/>
        <v>2</v>
      </c>
      <c r="AL96" s="4">
        <f t="shared" si="12"/>
        <v>4</v>
      </c>
      <c r="AM96" s="4">
        <f t="shared" si="12"/>
        <v>4</v>
      </c>
      <c r="AN96" s="4">
        <f t="shared" si="12"/>
        <v>3</v>
      </c>
      <c r="AO96" s="4">
        <f t="shared" si="12"/>
        <v>3</v>
      </c>
      <c r="AP96" s="4">
        <f t="shared" si="12"/>
        <v>2</v>
      </c>
      <c r="AQ96" s="4">
        <f t="shared" si="12"/>
        <v>3</v>
      </c>
      <c r="AR96" s="4">
        <f t="shared" si="12"/>
        <v>3</v>
      </c>
      <c r="AS96" s="4">
        <f t="shared" si="12"/>
        <v>3</v>
      </c>
      <c r="AT96" s="4">
        <f t="shared" ref="AT96:BY96" si="13">COUNTIFS($K$4:$K$91,$K$21,AT4:AT91,$N$6)</f>
        <v>3</v>
      </c>
      <c r="AU96" s="4">
        <f t="shared" si="13"/>
        <v>3</v>
      </c>
      <c r="AV96" s="4">
        <f t="shared" si="13"/>
        <v>3</v>
      </c>
      <c r="AW96" s="4">
        <f t="shared" si="13"/>
        <v>3</v>
      </c>
      <c r="AX96" s="4">
        <f t="shared" si="13"/>
        <v>3</v>
      </c>
      <c r="AY96" s="4">
        <f t="shared" si="13"/>
        <v>3</v>
      </c>
      <c r="AZ96" s="4">
        <f t="shared" si="13"/>
        <v>3</v>
      </c>
      <c r="BA96" s="4">
        <f t="shared" si="13"/>
        <v>3</v>
      </c>
      <c r="BB96" s="4">
        <f t="shared" si="13"/>
        <v>3</v>
      </c>
      <c r="BC96" s="4">
        <f t="shared" si="13"/>
        <v>3</v>
      </c>
      <c r="BD96" s="4">
        <f t="shared" si="13"/>
        <v>2</v>
      </c>
      <c r="BE96" s="4">
        <f t="shared" si="13"/>
        <v>2</v>
      </c>
      <c r="BF96" s="4">
        <f t="shared" si="13"/>
        <v>2</v>
      </c>
      <c r="BG96" s="4">
        <f t="shared" si="13"/>
        <v>2</v>
      </c>
      <c r="BH96" s="4">
        <f t="shared" si="13"/>
        <v>1</v>
      </c>
      <c r="BI96" s="4">
        <f t="shared" si="13"/>
        <v>2</v>
      </c>
      <c r="BJ96" s="4">
        <f t="shared" si="13"/>
        <v>2</v>
      </c>
      <c r="BK96" s="4">
        <f t="shared" si="13"/>
        <v>2</v>
      </c>
      <c r="BL96" s="4">
        <f t="shared" si="13"/>
        <v>2</v>
      </c>
      <c r="BM96" s="4">
        <f t="shared" si="13"/>
        <v>2</v>
      </c>
      <c r="BN96" s="4">
        <f t="shared" si="13"/>
        <v>2</v>
      </c>
      <c r="BO96" s="4">
        <f t="shared" si="13"/>
        <v>2</v>
      </c>
      <c r="BP96" s="4">
        <f t="shared" si="13"/>
        <v>2</v>
      </c>
      <c r="BQ96" s="4">
        <f t="shared" si="13"/>
        <v>2</v>
      </c>
      <c r="BR96" s="4">
        <f t="shared" si="13"/>
        <v>2</v>
      </c>
      <c r="BS96" s="4">
        <f t="shared" si="13"/>
        <v>2</v>
      </c>
      <c r="BT96" s="4">
        <f t="shared" si="13"/>
        <v>2</v>
      </c>
      <c r="BU96" s="4">
        <f t="shared" si="13"/>
        <v>2</v>
      </c>
      <c r="BV96" s="4">
        <f t="shared" si="13"/>
        <v>1</v>
      </c>
      <c r="BW96" s="4">
        <f t="shared" si="13"/>
        <v>1</v>
      </c>
      <c r="BX96" s="4">
        <f t="shared" si="13"/>
        <v>1</v>
      </c>
      <c r="BY96" s="4">
        <f t="shared" si="13"/>
        <v>1</v>
      </c>
      <c r="BZ96" s="4">
        <f t="shared" ref="BZ96:DE96" si="14">COUNTIFS($K$4:$K$91,$K$21,BZ4:BZ91,$N$6)</f>
        <v>1</v>
      </c>
      <c r="CA96" s="4">
        <f t="shared" si="14"/>
        <v>1</v>
      </c>
      <c r="CB96" s="4">
        <f t="shared" si="14"/>
        <v>1</v>
      </c>
      <c r="CC96" s="4">
        <f t="shared" si="14"/>
        <v>1</v>
      </c>
      <c r="CD96" s="4">
        <f t="shared" si="14"/>
        <v>2</v>
      </c>
      <c r="CE96" s="4">
        <f t="shared" si="14"/>
        <v>2</v>
      </c>
      <c r="CF96" s="4">
        <f t="shared" si="14"/>
        <v>1</v>
      </c>
      <c r="CG96" s="4">
        <f t="shared" si="14"/>
        <v>2</v>
      </c>
      <c r="CH96" s="4">
        <f t="shared" si="14"/>
        <v>2</v>
      </c>
      <c r="CI96" s="4">
        <f t="shared" si="14"/>
        <v>2</v>
      </c>
      <c r="CJ96" s="4">
        <f t="shared" si="14"/>
        <v>2</v>
      </c>
      <c r="CK96" s="4">
        <f t="shared" si="14"/>
        <v>2</v>
      </c>
      <c r="CL96" s="4">
        <f t="shared" si="14"/>
        <v>2</v>
      </c>
      <c r="CM96" s="4">
        <f t="shared" si="14"/>
        <v>2</v>
      </c>
      <c r="CN96" s="4">
        <f t="shared" si="14"/>
        <v>2</v>
      </c>
      <c r="CO96" s="4">
        <f t="shared" si="14"/>
        <v>2</v>
      </c>
      <c r="CP96" s="4">
        <f t="shared" si="14"/>
        <v>2</v>
      </c>
      <c r="CQ96" s="4">
        <f t="shared" si="14"/>
        <v>2</v>
      </c>
      <c r="CR96" s="4">
        <f t="shared" si="14"/>
        <v>2</v>
      </c>
      <c r="CS96" s="4">
        <f t="shared" si="14"/>
        <v>2</v>
      </c>
      <c r="CT96" s="5">
        <f t="shared" si="14"/>
        <v>2</v>
      </c>
      <c r="CU96">
        <f t="shared" si="14"/>
        <v>2</v>
      </c>
      <c r="CV96">
        <f t="shared" si="14"/>
        <v>1</v>
      </c>
      <c r="CW96">
        <f t="shared" si="14"/>
        <v>1</v>
      </c>
      <c r="CX96">
        <f t="shared" si="14"/>
        <v>1</v>
      </c>
      <c r="CY96">
        <f t="shared" si="14"/>
        <v>1</v>
      </c>
      <c r="CZ96">
        <f t="shared" si="14"/>
        <v>1</v>
      </c>
      <c r="DA96">
        <f t="shared" si="14"/>
        <v>1</v>
      </c>
      <c r="DB96">
        <f t="shared" si="14"/>
        <v>1</v>
      </c>
      <c r="DC96">
        <f t="shared" si="14"/>
        <v>1</v>
      </c>
      <c r="DD96">
        <f t="shared" si="14"/>
        <v>1</v>
      </c>
      <c r="DE96">
        <f t="shared" si="14"/>
        <v>1</v>
      </c>
      <c r="DF96">
        <f t="shared" ref="DF96:DW96" si="15">COUNTIFS($K$4:$K$91,$K$21,DF4:DF91,$N$6)</f>
        <v>1</v>
      </c>
      <c r="DG96">
        <f t="shared" si="15"/>
        <v>1</v>
      </c>
      <c r="DH96">
        <f t="shared" si="15"/>
        <v>1</v>
      </c>
      <c r="DI96">
        <f t="shared" si="15"/>
        <v>1</v>
      </c>
      <c r="DJ96">
        <f t="shared" si="15"/>
        <v>1</v>
      </c>
      <c r="DK96">
        <f t="shared" si="15"/>
        <v>1</v>
      </c>
      <c r="DL96">
        <f t="shared" si="15"/>
        <v>1</v>
      </c>
      <c r="DM96">
        <f t="shared" si="15"/>
        <v>1</v>
      </c>
      <c r="DN96">
        <f t="shared" si="15"/>
        <v>1</v>
      </c>
      <c r="DO96">
        <f t="shared" si="15"/>
        <v>1</v>
      </c>
      <c r="DP96">
        <f t="shared" si="15"/>
        <v>1</v>
      </c>
      <c r="DQ96">
        <f t="shared" si="15"/>
        <v>1</v>
      </c>
      <c r="DR96">
        <f t="shared" si="15"/>
        <v>1</v>
      </c>
      <c r="DS96">
        <f t="shared" si="15"/>
        <v>1</v>
      </c>
      <c r="DT96">
        <f t="shared" si="15"/>
        <v>1</v>
      </c>
      <c r="DU96">
        <f t="shared" si="15"/>
        <v>1</v>
      </c>
      <c r="DV96">
        <f t="shared" si="15"/>
        <v>1</v>
      </c>
      <c r="DW96">
        <f t="shared" si="15"/>
        <v>1</v>
      </c>
      <c r="DX96" t="s">
        <v>36</v>
      </c>
    </row>
    <row r="97" spans="1:128" ht="28.5">
      <c r="A97" s="4"/>
      <c r="B97" s="4"/>
      <c r="C97" s="48"/>
      <c r="D97" s="4"/>
      <c r="E97" s="4"/>
      <c r="F97" s="4"/>
      <c r="G97" s="4"/>
      <c r="H97" s="4"/>
      <c r="I97" s="4"/>
      <c r="J97" s="8"/>
      <c r="K97" s="32">
        <f>+COUNTIF(K4:K91,K27)</f>
        <v>10</v>
      </c>
      <c r="L97" s="29" t="s">
        <v>137</v>
      </c>
      <c r="M97" s="8"/>
      <c r="N97" s="4">
        <f t="shared" ref="N97:AS97" si="16">COUNTIFS($K$4:$K$91,$K$22,N4:N91,$N$7)</f>
        <v>10</v>
      </c>
      <c r="O97" s="4">
        <f t="shared" si="16"/>
        <v>1</v>
      </c>
      <c r="P97" s="4">
        <f t="shared" si="16"/>
        <v>0</v>
      </c>
      <c r="Q97" s="4">
        <f t="shared" si="16"/>
        <v>0</v>
      </c>
      <c r="R97" s="4">
        <f t="shared" si="16"/>
        <v>1</v>
      </c>
      <c r="S97" s="4">
        <f t="shared" si="16"/>
        <v>1</v>
      </c>
      <c r="T97" s="4">
        <f t="shared" si="16"/>
        <v>0</v>
      </c>
      <c r="U97" s="4">
        <f t="shared" si="16"/>
        <v>0</v>
      </c>
      <c r="V97" s="4">
        <f t="shared" si="16"/>
        <v>0</v>
      </c>
      <c r="W97" s="4">
        <f t="shared" si="16"/>
        <v>0</v>
      </c>
      <c r="X97" s="4">
        <f t="shared" si="16"/>
        <v>0</v>
      </c>
      <c r="Y97" s="4">
        <f t="shared" si="16"/>
        <v>0</v>
      </c>
      <c r="Z97" s="4">
        <f t="shared" si="16"/>
        <v>0</v>
      </c>
      <c r="AA97" s="4">
        <f t="shared" si="16"/>
        <v>1</v>
      </c>
      <c r="AB97" s="4">
        <f t="shared" si="16"/>
        <v>1</v>
      </c>
      <c r="AC97" s="4">
        <f t="shared" si="16"/>
        <v>1</v>
      </c>
      <c r="AD97" s="4">
        <f t="shared" si="16"/>
        <v>1</v>
      </c>
      <c r="AE97" s="4">
        <f t="shared" si="16"/>
        <v>1</v>
      </c>
      <c r="AF97" s="4">
        <f t="shared" si="16"/>
        <v>1</v>
      </c>
      <c r="AG97" s="4">
        <f t="shared" si="16"/>
        <v>1</v>
      </c>
      <c r="AH97" s="4">
        <f t="shared" si="16"/>
        <v>1</v>
      </c>
      <c r="AI97" s="4">
        <f t="shared" si="16"/>
        <v>1</v>
      </c>
      <c r="AJ97" s="4">
        <f t="shared" si="16"/>
        <v>1</v>
      </c>
      <c r="AK97" s="4">
        <f t="shared" si="16"/>
        <v>1</v>
      </c>
      <c r="AL97" s="4">
        <f t="shared" si="16"/>
        <v>5</v>
      </c>
      <c r="AM97" s="4">
        <f t="shared" si="16"/>
        <v>4</v>
      </c>
      <c r="AN97" s="4">
        <f t="shared" si="16"/>
        <v>5</v>
      </c>
      <c r="AO97" s="4">
        <f t="shared" si="16"/>
        <v>4</v>
      </c>
      <c r="AP97" s="4">
        <f t="shared" si="16"/>
        <v>4</v>
      </c>
      <c r="AQ97" s="4">
        <f t="shared" si="16"/>
        <v>5</v>
      </c>
      <c r="AR97" s="4">
        <f t="shared" si="16"/>
        <v>4</v>
      </c>
      <c r="AS97" s="4">
        <f t="shared" si="16"/>
        <v>2</v>
      </c>
      <c r="AT97" s="4">
        <f t="shared" ref="AT97:BY97" si="17">COUNTIFS($K$4:$K$91,$K$22,AT4:AT91,$N$7)</f>
        <v>2</v>
      </c>
      <c r="AU97" s="4">
        <f t="shared" si="17"/>
        <v>2</v>
      </c>
      <c r="AV97" s="4">
        <f t="shared" si="17"/>
        <v>2</v>
      </c>
      <c r="AW97" s="4">
        <f t="shared" si="17"/>
        <v>3</v>
      </c>
      <c r="AX97" s="4">
        <f t="shared" si="17"/>
        <v>4</v>
      </c>
      <c r="AY97" s="4">
        <f t="shared" si="17"/>
        <v>5</v>
      </c>
      <c r="AZ97" s="4">
        <f t="shared" si="17"/>
        <v>4</v>
      </c>
      <c r="BA97" s="4">
        <f t="shared" si="17"/>
        <v>4</v>
      </c>
      <c r="BB97" s="4">
        <f t="shared" si="17"/>
        <v>5</v>
      </c>
      <c r="BC97" s="4">
        <f t="shared" si="17"/>
        <v>5</v>
      </c>
      <c r="BD97" s="4">
        <f t="shared" si="17"/>
        <v>3</v>
      </c>
      <c r="BE97" s="4">
        <f t="shared" si="17"/>
        <v>3</v>
      </c>
      <c r="BF97" s="4">
        <f t="shared" si="17"/>
        <v>3</v>
      </c>
      <c r="BG97" s="4">
        <f t="shared" si="17"/>
        <v>3</v>
      </c>
      <c r="BH97" s="4">
        <f t="shared" si="17"/>
        <v>3</v>
      </c>
      <c r="BI97" s="4">
        <f t="shared" si="17"/>
        <v>2</v>
      </c>
      <c r="BJ97" s="4">
        <f t="shared" si="17"/>
        <v>2</v>
      </c>
      <c r="BK97" s="4">
        <f t="shared" si="17"/>
        <v>2</v>
      </c>
      <c r="BL97" s="4">
        <f t="shared" si="17"/>
        <v>2</v>
      </c>
      <c r="BM97" s="4">
        <f t="shared" si="17"/>
        <v>2</v>
      </c>
      <c r="BN97" s="4">
        <f t="shared" si="17"/>
        <v>3</v>
      </c>
      <c r="BO97" s="4">
        <f t="shared" si="17"/>
        <v>3</v>
      </c>
      <c r="BP97" s="4">
        <f t="shared" si="17"/>
        <v>3</v>
      </c>
      <c r="BQ97" s="4">
        <f t="shared" si="17"/>
        <v>2</v>
      </c>
      <c r="BR97" s="4">
        <f t="shared" si="17"/>
        <v>2</v>
      </c>
      <c r="BS97" s="4">
        <f t="shared" si="17"/>
        <v>3</v>
      </c>
      <c r="BT97" s="4">
        <f t="shared" si="17"/>
        <v>3</v>
      </c>
      <c r="BU97" s="4">
        <f t="shared" si="17"/>
        <v>3</v>
      </c>
      <c r="BV97" s="4">
        <f t="shared" si="17"/>
        <v>2</v>
      </c>
      <c r="BW97" s="4">
        <f t="shared" si="17"/>
        <v>1</v>
      </c>
      <c r="BX97" s="4">
        <f t="shared" si="17"/>
        <v>2</v>
      </c>
      <c r="BY97" s="4">
        <f t="shared" si="17"/>
        <v>1</v>
      </c>
      <c r="BZ97" s="4">
        <f t="shared" ref="BZ97:DE97" si="18">COUNTIFS($K$4:$K$91,$K$22,BZ4:BZ91,$N$7)</f>
        <v>2</v>
      </c>
      <c r="CA97" s="4">
        <f t="shared" si="18"/>
        <v>2</v>
      </c>
      <c r="CB97" s="4">
        <f t="shared" si="18"/>
        <v>2</v>
      </c>
      <c r="CC97" s="4">
        <f t="shared" si="18"/>
        <v>2</v>
      </c>
      <c r="CD97" s="4">
        <f t="shared" si="18"/>
        <v>1</v>
      </c>
      <c r="CE97" s="4">
        <f t="shared" si="18"/>
        <v>1</v>
      </c>
      <c r="CF97" s="4">
        <f t="shared" si="18"/>
        <v>2</v>
      </c>
      <c r="CG97" s="4">
        <f t="shared" si="18"/>
        <v>2</v>
      </c>
      <c r="CH97" s="4">
        <f t="shared" si="18"/>
        <v>2</v>
      </c>
      <c r="CI97" s="4">
        <f t="shared" si="18"/>
        <v>1</v>
      </c>
      <c r="CJ97" s="4">
        <f t="shared" si="18"/>
        <v>1</v>
      </c>
      <c r="CK97" s="4">
        <f t="shared" si="18"/>
        <v>2</v>
      </c>
      <c r="CL97" s="4">
        <f t="shared" si="18"/>
        <v>2</v>
      </c>
      <c r="CM97" s="4">
        <f t="shared" si="18"/>
        <v>2</v>
      </c>
      <c r="CN97" s="4">
        <f t="shared" si="18"/>
        <v>7</v>
      </c>
      <c r="CO97" s="4">
        <f t="shared" si="18"/>
        <v>7</v>
      </c>
      <c r="CP97" s="4">
        <f t="shared" si="18"/>
        <v>6</v>
      </c>
      <c r="CQ97" s="4">
        <f t="shared" si="18"/>
        <v>5</v>
      </c>
      <c r="CR97" s="4">
        <f t="shared" si="18"/>
        <v>7</v>
      </c>
      <c r="CS97" s="4">
        <f t="shared" si="18"/>
        <v>6</v>
      </c>
      <c r="CT97" s="5">
        <f t="shared" si="18"/>
        <v>7</v>
      </c>
      <c r="CU97">
        <f t="shared" si="18"/>
        <v>7</v>
      </c>
      <c r="CV97">
        <f t="shared" si="18"/>
        <v>6</v>
      </c>
      <c r="CW97">
        <f t="shared" si="18"/>
        <v>6</v>
      </c>
      <c r="CX97">
        <f t="shared" si="18"/>
        <v>7</v>
      </c>
      <c r="CY97">
        <f t="shared" si="18"/>
        <v>7</v>
      </c>
      <c r="CZ97">
        <f t="shared" si="18"/>
        <v>7</v>
      </c>
      <c r="DA97">
        <f t="shared" si="18"/>
        <v>6</v>
      </c>
      <c r="DB97">
        <f t="shared" si="18"/>
        <v>6</v>
      </c>
      <c r="DC97">
        <f t="shared" si="18"/>
        <v>7</v>
      </c>
      <c r="DD97">
        <f t="shared" si="18"/>
        <v>7</v>
      </c>
      <c r="DE97">
        <f t="shared" si="18"/>
        <v>7</v>
      </c>
      <c r="DF97">
        <f t="shared" ref="DF97:DW97" si="19">COUNTIFS($K$4:$K$91,$K$22,DF4:DF91,$N$7)</f>
        <v>7</v>
      </c>
      <c r="DG97">
        <f t="shared" si="19"/>
        <v>7</v>
      </c>
      <c r="DH97">
        <f t="shared" si="19"/>
        <v>6</v>
      </c>
      <c r="DI97">
        <f t="shared" si="19"/>
        <v>6</v>
      </c>
      <c r="DJ97">
        <f t="shared" si="19"/>
        <v>7</v>
      </c>
      <c r="DK97">
        <f t="shared" si="19"/>
        <v>6</v>
      </c>
      <c r="DL97">
        <f t="shared" si="19"/>
        <v>7</v>
      </c>
      <c r="DM97">
        <f t="shared" si="19"/>
        <v>7</v>
      </c>
      <c r="DN97">
        <f t="shared" si="19"/>
        <v>6</v>
      </c>
      <c r="DO97">
        <f t="shared" si="19"/>
        <v>6</v>
      </c>
      <c r="DP97">
        <f t="shared" si="19"/>
        <v>7</v>
      </c>
      <c r="DQ97">
        <f t="shared" si="19"/>
        <v>7</v>
      </c>
      <c r="DR97">
        <f t="shared" si="19"/>
        <v>7</v>
      </c>
      <c r="DS97">
        <f t="shared" si="19"/>
        <v>6</v>
      </c>
      <c r="DT97">
        <f t="shared" si="19"/>
        <v>6</v>
      </c>
      <c r="DU97">
        <f t="shared" si="19"/>
        <v>7</v>
      </c>
      <c r="DV97">
        <f t="shared" si="19"/>
        <v>7</v>
      </c>
      <c r="DW97">
        <f t="shared" si="19"/>
        <v>7</v>
      </c>
      <c r="DX97" t="s">
        <v>36</v>
      </c>
    </row>
    <row r="98" spans="1:128">
      <c r="A98" s="4"/>
      <c r="B98" s="4"/>
      <c r="C98" s="48"/>
      <c r="D98" s="4"/>
      <c r="E98" s="4"/>
      <c r="F98" s="4"/>
      <c r="G98" s="4"/>
      <c r="H98" s="4"/>
      <c r="I98" s="4"/>
      <c r="J98" s="8"/>
      <c r="K98" s="32">
        <f>+COUNTIF(K7:K97,K26)</f>
        <v>9</v>
      </c>
      <c r="L98" s="4" t="s">
        <v>58</v>
      </c>
      <c r="M98" s="8"/>
      <c r="N98" s="4">
        <f>COUNTIFS($K$4:$K$93,$K$41,N4:N93,$N$7)</f>
        <v>7</v>
      </c>
      <c r="O98" s="4">
        <f t="shared" ref="O98:AT98" si="20">COUNTIFS($K$4:$K$91,$K$26,O4:O91,$N$5)</f>
        <v>4</v>
      </c>
      <c r="P98" s="4">
        <f t="shared" si="20"/>
        <v>0</v>
      </c>
      <c r="Q98" s="4">
        <f t="shared" si="20"/>
        <v>2</v>
      </c>
      <c r="R98" s="4">
        <f t="shared" si="20"/>
        <v>0</v>
      </c>
      <c r="S98" s="4">
        <f t="shared" si="20"/>
        <v>0</v>
      </c>
      <c r="T98" s="4">
        <f t="shared" si="20"/>
        <v>2</v>
      </c>
      <c r="U98" s="4">
        <f t="shared" si="20"/>
        <v>2</v>
      </c>
      <c r="V98" s="4">
        <f t="shared" si="20"/>
        <v>2</v>
      </c>
      <c r="W98" s="4">
        <f t="shared" si="20"/>
        <v>2</v>
      </c>
      <c r="X98" s="4">
        <f t="shared" si="20"/>
        <v>2</v>
      </c>
      <c r="Y98" s="4">
        <f t="shared" si="20"/>
        <v>2</v>
      </c>
      <c r="Z98" s="4">
        <f t="shared" si="20"/>
        <v>2</v>
      </c>
      <c r="AA98" s="4">
        <f t="shared" si="20"/>
        <v>3</v>
      </c>
      <c r="AB98" s="4">
        <f t="shared" si="20"/>
        <v>3</v>
      </c>
      <c r="AC98" s="4">
        <f t="shared" si="20"/>
        <v>3</v>
      </c>
      <c r="AD98" s="4">
        <f t="shared" si="20"/>
        <v>3</v>
      </c>
      <c r="AE98" s="4">
        <f t="shared" si="20"/>
        <v>3</v>
      </c>
      <c r="AF98" s="4">
        <f t="shared" si="20"/>
        <v>3</v>
      </c>
      <c r="AG98" s="4">
        <f t="shared" si="20"/>
        <v>3</v>
      </c>
      <c r="AH98" s="4">
        <f t="shared" si="20"/>
        <v>3</v>
      </c>
      <c r="AI98" s="4">
        <f t="shared" si="20"/>
        <v>3</v>
      </c>
      <c r="AJ98" s="4">
        <f t="shared" si="20"/>
        <v>3</v>
      </c>
      <c r="AK98" s="4">
        <f t="shared" si="20"/>
        <v>3</v>
      </c>
      <c r="AL98" s="4">
        <f t="shared" si="20"/>
        <v>5</v>
      </c>
      <c r="AM98" s="4">
        <f t="shared" si="20"/>
        <v>5</v>
      </c>
      <c r="AN98" s="4">
        <f t="shared" si="20"/>
        <v>3</v>
      </c>
      <c r="AO98" s="4">
        <f t="shared" si="20"/>
        <v>3</v>
      </c>
      <c r="AP98" s="4">
        <f t="shared" si="20"/>
        <v>3</v>
      </c>
      <c r="AQ98" s="4">
        <f t="shared" si="20"/>
        <v>4</v>
      </c>
      <c r="AR98" s="4">
        <f t="shared" si="20"/>
        <v>4</v>
      </c>
      <c r="AS98" s="4">
        <f t="shared" si="20"/>
        <v>4</v>
      </c>
      <c r="AT98" s="4">
        <f t="shared" si="20"/>
        <v>4</v>
      </c>
      <c r="AU98" s="4">
        <f t="shared" ref="AU98:BZ98" si="21">COUNTIFS($K$4:$K$91,$K$26,AU4:AU91,$N$5)</f>
        <v>4</v>
      </c>
      <c r="AV98" s="4">
        <f t="shared" si="21"/>
        <v>4</v>
      </c>
      <c r="AW98" s="4">
        <f t="shared" si="21"/>
        <v>4</v>
      </c>
      <c r="AX98" s="4">
        <f t="shared" si="21"/>
        <v>4</v>
      </c>
      <c r="AY98" s="4">
        <f t="shared" si="21"/>
        <v>4</v>
      </c>
      <c r="AZ98" s="4">
        <f t="shared" si="21"/>
        <v>4</v>
      </c>
      <c r="BA98" s="4">
        <f t="shared" si="21"/>
        <v>4</v>
      </c>
      <c r="BB98" s="4">
        <f t="shared" si="21"/>
        <v>4</v>
      </c>
      <c r="BC98" s="4">
        <f t="shared" si="21"/>
        <v>4</v>
      </c>
      <c r="BD98" s="4">
        <f t="shared" si="21"/>
        <v>1</v>
      </c>
      <c r="BE98" s="4">
        <f t="shared" si="21"/>
        <v>1</v>
      </c>
      <c r="BF98" s="4">
        <f t="shared" si="21"/>
        <v>0</v>
      </c>
      <c r="BG98" s="4">
        <f t="shared" si="21"/>
        <v>0</v>
      </c>
      <c r="BH98" s="4">
        <f t="shared" si="21"/>
        <v>0</v>
      </c>
      <c r="BI98" s="4">
        <f t="shared" si="21"/>
        <v>1</v>
      </c>
      <c r="BJ98" s="4">
        <f t="shared" si="21"/>
        <v>1</v>
      </c>
      <c r="BK98" s="4">
        <f t="shared" si="21"/>
        <v>1</v>
      </c>
      <c r="BL98" s="4">
        <f t="shared" si="21"/>
        <v>1</v>
      </c>
      <c r="BM98" s="4">
        <f t="shared" si="21"/>
        <v>1</v>
      </c>
      <c r="BN98" s="4">
        <f t="shared" si="21"/>
        <v>1</v>
      </c>
      <c r="BO98" s="4">
        <f t="shared" si="21"/>
        <v>1</v>
      </c>
      <c r="BP98" s="4">
        <f t="shared" si="21"/>
        <v>1</v>
      </c>
      <c r="BQ98" s="4">
        <f t="shared" si="21"/>
        <v>1</v>
      </c>
      <c r="BR98" s="4">
        <f t="shared" si="21"/>
        <v>1</v>
      </c>
      <c r="BS98" s="4">
        <f t="shared" si="21"/>
        <v>1</v>
      </c>
      <c r="BT98" s="4">
        <f t="shared" si="21"/>
        <v>1</v>
      </c>
      <c r="BU98" s="4">
        <f t="shared" si="21"/>
        <v>1</v>
      </c>
      <c r="BV98" s="4">
        <f t="shared" si="21"/>
        <v>1</v>
      </c>
      <c r="BW98" s="4">
        <f t="shared" si="21"/>
        <v>1</v>
      </c>
      <c r="BX98" s="4">
        <f t="shared" si="21"/>
        <v>1</v>
      </c>
      <c r="BY98" s="4">
        <f t="shared" si="21"/>
        <v>1</v>
      </c>
      <c r="BZ98" s="4">
        <f t="shared" si="21"/>
        <v>1</v>
      </c>
      <c r="CA98" s="4">
        <f t="shared" ref="CA98:DF98" si="22">COUNTIFS($K$4:$K$91,$K$26,CA4:CA91,$N$5)</f>
        <v>1</v>
      </c>
      <c r="CB98" s="4">
        <f t="shared" si="22"/>
        <v>1</v>
      </c>
      <c r="CC98" s="4">
        <f t="shared" si="22"/>
        <v>1</v>
      </c>
      <c r="CD98" s="4">
        <f t="shared" si="22"/>
        <v>1</v>
      </c>
      <c r="CE98" s="4">
        <f t="shared" si="22"/>
        <v>1</v>
      </c>
      <c r="CF98" s="4">
        <f t="shared" si="22"/>
        <v>1</v>
      </c>
      <c r="CG98" s="4">
        <f t="shared" si="22"/>
        <v>1</v>
      </c>
      <c r="CH98" s="4">
        <f t="shared" si="22"/>
        <v>1</v>
      </c>
      <c r="CI98" s="4">
        <f t="shared" si="22"/>
        <v>1</v>
      </c>
      <c r="CJ98" s="4">
        <f t="shared" si="22"/>
        <v>1</v>
      </c>
      <c r="CK98" s="4">
        <f t="shared" si="22"/>
        <v>1</v>
      </c>
      <c r="CL98" s="4">
        <f t="shared" si="22"/>
        <v>1</v>
      </c>
      <c r="CM98" s="4">
        <f t="shared" si="22"/>
        <v>1</v>
      </c>
      <c r="CN98" s="4">
        <f t="shared" si="22"/>
        <v>3</v>
      </c>
      <c r="CO98" s="4">
        <f t="shared" si="22"/>
        <v>3</v>
      </c>
      <c r="CP98" s="4">
        <f t="shared" si="22"/>
        <v>2</v>
      </c>
      <c r="CQ98" s="4">
        <f t="shared" si="22"/>
        <v>2</v>
      </c>
      <c r="CR98" s="4">
        <f t="shared" si="22"/>
        <v>2</v>
      </c>
      <c r="CS98" s="4">
        <f t="shared" si="22"/>
        <v>3</v>
      </c>
      <c r="CT98" s="4">
        <f t="shared" si="22"/>
        <v>3</v>
      </c>
      <c r="CU98" s="4">
        <f t="shared" si="22"/>
        <v>3</v>
      </c>
      <c r="CV98" s="4">
        <f t="shared" si="22"/>
        <v>3</v>
      </c>
      <c r="CW98" s="4">
        <f t="shared" si="22"/>
        <v>3</v>
      </c>
      <c r="CX98" s="4">
        <f t="shared" si="22"/>
        <v>3</v>
      </c>
      <c r="CY98" s="4">
        <f t="shared" si="22"/>
        <v>3</v>
      </c>
      <c r="CZ98" s="4">
        <f t="shared" si="22"/>
        <v>4</v>
      </c>
      <c r="DA98" s="4">
        <f t="shared" si="22"/>
        <v>4</v>
      </c>
      <c r="DB98" s="4">
        <f t="shared" si="22"/>
        <v>4</v>
      </c>
      <c r="DC98" s="4">
        <f t="shared" si="22"/>
        <v>4</v>
      </c>
      <c r="DD98" s="4">
        <f t="shared" si="22"/>
        <v>4</v>
      </c>
      <c r="DE98" s="4">
        <f t="shared" si="22"/>
        <v>4</v>
      </c>
      <c r="DF98" s="4">
        <f t="shared" si="22"/>
        <v>4</v>
      </c>
      <c r="DG98" s="4">
        <f t="shared" ref="DG98:DW98" si="23">COUNTIFS($K$4:$K$91,$K$26,DG4:DG91,$N$5)</f>
        <v>4</v>
      </c>
      <c r="DH98" s="4">
        <f t="shared" si="23"/>
        <v>3</v>
      </c>
      <c r="DI98" s="4">
        <f t="shared" si="23"/>
        <v>3</v>
      </c>
      <c r="DJ98" s="4">
        <f t="shared" si="23"/>
        <v>3</v>
      </c>
      <c r="DK98" s="4">
        <f t="shared" si="23"/>
        <v>4</v>
      </c>
      <c r="DL98" s="4">
        <f t="shared" si="23"/>
        <v>4</v>
      </c>
      <c r="DM98" s="4">
        <f t="shared" si="23"/>
        <v>3</v>
      </c>
      <c r="DN98" s="4">
        <f t="shared" si="23"/>
        <v>3</v>
      </c>
      <c r="DO98" s="4">
        <f t="shared" si="23"/>
        <v>3</v>
      </c>
      <c r="DP98" s="4">
        <f t="shared" si="23"/>
        <v>3</v>
      </c>
      <c r="DQ98" s="4">
        <f t="shared" si="23"/>
        <v>4</v>
      </c>
      <c r="DR98" s="4">
        <f t="shared" si="23"/>
        <v>4</v>
      </c>
      <c r="DS98" s="4">
        <f t="shared" si="23"/>
        <v>4</v>
      </c>
      <c r="DT98" s="4">
        <f t="shared" si="23"/>
        <v>4</v>
      </c>
      <c r="DU98" s="4">
        <f t="shared" si="23"/>
        <v>4</v>
      </c>
      <c r="DV98" s="4">
        <f t="shared" si="23"/>
        <v>4</v>
      </c>
      <c r="DW98" s="4">
        <f t="shared" si="23"/>
        <v>4</v>
      </c>
      <c r="DX98" t="s">
        <v>36</v>
      </c>
    </row>
    <row r="99" spans="1:128">
      <c r="A99" s="4"/>
      <c r="B99" s="4"/>
      <c r="C99" s="48"/>
      <c r="D99" s="4"/>
      <c r="E99" s="4"/>
      <c r="F99" s="4"/>
      <c r="G99" s="4"/>
      <c r="H99" s="4"/>
      <c r="I99" s="4"/>
      <c r="J99" s="8"/>
      <c r="K99" s="32">
        <f>+COUNTIF(K8:K98,K30)</f>
        <v>3</v>
      </c>
      <c r="L99" s="25" t="s">
        <v>168</v>
      </c>
      <c r="M99" s="8"/>
      <c r="N99" s="4">
        <f t="shared" ref="N99:AS99" si="24">COUNTIFS($K$4:$K$92,$K$30,N4:N92,$N$10)</f>
        <v>2</v>
      </c>
      <c r="O99" s="4">
        <f t="shared" si="24"/>
        <v>2</v>
      </c>
      <c r="P99" s="4">
        <f t="shared" si="24"/>
        <v>0</v>
      </c>
      <c r="Q99" s="4">
        <f t="shared" si="24"/>
        <v>0</v>
      </c>
      <c r="R99" s="4">
        <f t="shared" si="24"/>
        <v>0</v>
      </c>
      <c r="S99" s="4">
        <f t="shared" si="24"/>
        <v>0</v>
      </c>
      <c r="T99" s="4">
        <f t="shared" si="24"/>
        <v>0</v>
      </c>
      <c r="U99" s="4">
        <f t="shared" si="24"/>
        <v>0</v>
      </c>
      <c r="V99" s="4">
        <f t="shared" si="24"/>
        <v>0</v>
      </c>
      <c r="W99" s="4">
        <f t="shared" si="24"/>
        <v>0</v>
      </c>
      <c r="X99" s="4">
        <f t="shared" si="24"/>
        <v>0</v>
      </c>
      <c r="Y99" s="4">
        <f t="shared" si="24"/>
        <v>0</v>
      </c>
      <c r="Z99" s="4">
        <f t="shared" si="24"/>
        <v>0</v>
      </c>
      <c r="AA99" s="4">
        <f t="shared" si="24"/>
        <v>0</v>
      </c>
      <c r="AB99" s="4">
        <f t="shared" si="24"/>
        <v>0</v>
      </c>
      <c r="AC99" s="4">
        <f t="shared" si="24"/>
        <v>0</v>
      </c>
      <c r="AD99" s="4">
        <f t="shared" si="24"/>
        <v>0</v>
      </c>
      <c r="AE99" s="4">
        <f t="shared" si="24"/>
        <v>0</v>
      </c>
      <c r="AF99" s="4">
        <f t="shared" si="24"/>
        <v>0</v>
      </c>
      <c r="AG99" s="4">
        <f t="shared" si="24"/>
        <v>0</v>
      </c>
      <c r="AH99" s="4">
        <f t="shared" si="24"/>
        <v>0</v>
      </c>
      <c r="AI99" s="4">
        <f t="shared" si="24"/>
        <v>0</v>
      </c>
      <c r="AJ99" s="4">
        <f t="shared" si="24"/>
        <v>0</v>
      </c>
      <c r="AK99" s="4">
        <f t="shared" si="24"/>
        <v>0</v>
      </c>
      <c r="AL99" s="4">
        <f t="shared" si="24"/>
        <v>0</v>
      </c>
      <c r="AM99" s="4">
        <f t="shared" si="24"/>
        <v>0</v>
      </c>
      <c r="AN99" s="4">
        <f t="shared" si="24"/>
        <v>0</v>
      </c>
      <c r="AO99" s="4">
        <f t="shared" si="24"/>
        <v>0</v>
      </c>
      <c r="AP99" s="4">
        <f t="shared" si="24"/>
        <v>0</v>
      </c>
      <c r="AQ99" s="4">
        <f t="shared" si="24"/>
        <v>0</v>
      </c>
      <c r="AR99" s="4">
        <f t="shared" si="24"/>
        <v>0</v>
      </c>
      <c r="AS99" s="4">
        <f t="shared" si="24"/>
        <v>0</v>
      </c>
      <c r="AT99" s="4">
        <f t="shared" ref="AT99:BY99" si="25">COUNTIFS($K$4:$K$92,$K$30,AT4:AT92,$N$10)</f>
        <v>0</v>
      </c>
      <c r="AU99" s="4">
        <f t="shared" si="25"/>
        <v>0</v>
      </c>
      <c r="AV99" s="4">
        <f t="shared" si="25"/>
        <v>0</v>
      </c>
      <c r="AW99" s="4">
        <f t="shared" si="25"/>
        <v>0</v>
      </c>
      <c r="AX99" s="4">
        <f t="shared" si="25"/>
        <v>0</v>
      </c>
      <c r="AY99" s="4">
        <f t="shared" si="25"/>
        <v>0</v>
      </c>
      <c r="AZ99" s="4">
        <f t="shared" si="25"/>
        <v>0</v>
      </c>
      <c r="BA99" s="4">
        <f t="shared" si="25"/>
        <v>0</v>
      </c>
      <c r="BB99" s="4">
        <f t="shared" si="25"/>
        <v>0</v>
      </c>
      <c r="BC99" s="4">
        <f t="shared" si="25"/>
        <v>0</v>
      </c>
      <c r="BD99" s="4">
        <f t="shared" si="25"/>
        <v>0</v>
      </c>
      <c r="BE99" s="4">
        <f t="shared" si="25"/>
        <v>0</v>
      </c>
      <c r="BF99" s="4">
        <f t="shared" si="25"/>
        <v>0</v>
      </c>
      <c r="BG99" s="4">
        <f t="shared" si="25"/>
        <v>0</v>
      </c>
      <c r="BH99" s="4">
        <f t="shared" si="25"/>
        <v>0</v>
      </c>
      <c r="BI99" s="4">
        <f t="shared" si="25"/>
        <v>0</v>
      </c>
      <c r="BJ99" s="4">
        <f t="shared" si="25"/>
        <v>0</v>
      </c>
      <c r="BK99" s="4">
        <f t="shared" si="25"/>
        <v>0</v>
      </c>
      <c r="BL99" s="4">
        <f t="shared" si="25"/>
        <v>0</v>
      </c>
      <c r="BM99" s="4">
        <f t="shared" si="25"/>
        <v>0</v>
      </c>
      <c r="BN99" s="4">
        <f t="shared" si="25"/>
        <v>0</v>
      </c>
      <c r="BO99" s="4">
        <f t="shared" si="25"/>
        <v>0</v>
      </c>
      <c r="BP99" s="4">
        <f t="shared" si="25"/>
        <v>0</v>
      </c>
      <c r="BQ99" s="4">
        <f t="shared" si="25"/>
        <v>0</v>
      </c>
      <c r="BR99" s="4">
        <f t="shared" si="25"/>
        <v>0</v>
      </c>
      <c r="BS99" s="4">
        <f t="shared" si="25"/>
        <v>0</v>
      </c>
      <c r="BT99" s="4">
        <f t="shared" si="25"/>
        <v>0</v>
      </c>
      <c r="BU99" s="4">
        <f t="shared" si="25"/>
        <v>0</v>
      </c>
      <c r="BV99" s="4">
        <f t="shared" si="25"/>
        <v>0</v>
      </c>
      <c r="BW99" s="4">
        <f t="shared" si="25"/>
        <v>0</v>
      </c>
      <c r="BX99" s="4">
        <f t="shared" si="25"/>
        <v>0</v>
      </c>
      <c r="BY99" s="4">
        <f t="shared" si="25"/>
        <v>0</v>
      </c>
      <c r="BZ99" s="4">
        <f t="shared" ref="BZ99:DE99" si="26">COUNTIFS($K$4:$K$92,$K$30,BZ4:BZ92,$N$10)</f>
        <v>0</v>
      </c>
      <c r="CA99" s="4">
        <f t="shared" si="26"/>
        <v>0</v>
      </c>
      <c r="CB99" s="4">
        <f t="shared" si="26"/>
        <v>0</v>
      </c>
      <c r="CC99" s="4">
        <f t="shared" si="26"/>
        <v>0</v>
      </c>
      <c r="CD99" s="4">
        <f t="shared" si="26"/>
        <v>0</v>
      </c>
      <c r="CE99" s="4">
        <f t="shared" si="26"/>
        <v>0</v>
      </c>
      <c r="CF99" s="4">
        <f t="shared" si="26"/>
        <v>0</v>
      </c>
      <c r="CG99" s="4">
        <f t="shared" si="26"/>
        <v>0</v>
      </c>
      <c r="CH99" s="4">
        <f t="shared" si="26"/>
        <v>0</v>
      </c>
      <c r="CI99" s="4">
        <f t="shared" si="26"/>
        <v>0</v>
      </c>
      <c r="CJ99" s="4">
        <f t="shared" si="26"/>
        <v>0</v>
      </c>
      <c r="CK99" s="4">
        <f t="shared" si="26"/>
        <v>0</v>
      </c>
      <c r="CL99" s="4">
        <f t="shared" si="26"/>
        <v>0</v>
      </c>
      <c r="CM99" s="4">
        <f t="shared" si="26"/>
        <v>0</v>
      </c>
      <c r="CN99" s="4">
        <f t="shared" si="26"/>
        <v>2</v>
      </c>
      <c r="CO99" s="4">
        <f t="shared" si="26"/>
        <v>2</v>
      </c>
      <c r="CP99" s="4">
        <f t="shared" si="26"/>
        <v>2</v>
      </c>
      <c r="CQ99" s="4">
        <f t="shared" si="26"/>
        <v>3</v>
      </c>
      <c r="CR99" s="4">
        <f t="shared" si="26"/>
        <v>3</v>
      </c>
      <c r="CS99" s="4">
        <f t="shared" si="26"/>
        <v>3</v>
      </c>
      <c r="CT99" s="4">
        <f t="shared" si="26"/>
        <v>3</v>
      </c>
      <c r="CU99" s="4">
        <f t="shared" si="26"/>
        <v>3</v>
      </c>
      <c r="CV99" s="4">
        <f t="shared" si="26"/>
        <v>3</v>
      </c>
      <c r="CW99" s="4">
        <f t="shared" si="26"/>
        <v>3</v>
      </c>
      <c r="CX99" s="4">
        <f t="shared" si="26"/>
        <v>3</v>
      </c>
      <c r="CY99" s="4">
        <f t="shared" si="26"/>
        <v>3</v>
      </c>
      <c r="CZ99" s="4">
        <f t="shared" si="26"/>
        <v>3</v>
      </c>
      <c r="DA99" s="4">
        <f t="shared" si="26"/>
        <v>3</v>
      </c>
      <c r="DB99" s="4">
        <f t="shared" si="26"/>
        <v>3</v>
      </c>
      <c r="DC99" s="4">
        <f t="shared" si="26"/>
        <v>3</v>
      </c>
      <c r="DD99" s="4">
        <f t="shared" si="26"/>
        <v>3</v>
      </c>
      <c r="DE99" s="4">
        <f t="shared" si="26"/>
        <v>3</v>
      </c>
      <c r="DF99" s="4">
        <f t="shared" ref="DF99:DW99" si="27">COUNTIFS($K$4:$K$92,$K$30,DF4:DF92,$N$10)</f>
        <v>1</v>
      </c>
      <c r="DG99" s="4">
        <f t="shared" si="27"/>
        <v>1</v>
      </c>
      <c r="DH99" s="4">
        <f t="shared" si="27"/>
        <v>1</v>
      </c>
      <c r="DI99" s="4">
        <f t="shared" si="27"/>
        <v>1</v>
      </c>
      <c r="DJ99" s="4">
        <f t="shared" si="27"/>
        <v>1</v>
      </c>
      <c r="DK99" s="4">
        <f t="shared" si="27"/>
        <v>1</v>
      </c>
      <c r="DL99" s="4">
        <f t="shared" si="27"/>
        <v>1</v>
      </c>
      <c r="DM99" s="4">
        <f t="shared" si="27"/>
        <v>1</v>
      </c>
      <c r="DN99" s="4">
        <f t="shared" si="27"/>
        <v>1</v>
      </c>
      <c r="DO99" s="4">
        <f t="shared" si="27"/>
        <v>1</v>
      </c>
      <c r="DP99" s="4">
        <f t="shared" si="27"/>
        <v>1</v>
      </c>
      <c r="DQ99" s="4">
        <f t="shared" si="27"/>
        <v>1</v>
      </c>
      <c r="DR99" s="4">
        <f t="shared" si="27"/>
        <v>1</v>
      </c>
      <c r="DS99" s="4">
        <f t="shared" si="27"/>
        <v>1</v>
      </c>
      <c r="DT99" s="4">
        <f t="shared" si="27"/>
        <v>1</v>
      </c>
      <c r="DU99" s="4">
        <f t="shared" si="27"/>
        <v>1</v>
      </c>
      <c r="DV99" s="4">
        <f t="shared" si="27"/>
        <v>1</v>
      </c>
      <c r="DW99" s="4">
        <f t="shared" si="27"/>
        <v>1</v>
      </c>
      <c r="DX99" t="s">
        <v>36</v>
      </c>
    </row>
    <row r="100" spans="1:128">
      <c r="A100" s="4"/>
      <c r="B100" s="4"/>
      <c r="C100" s="48"/>
      <c r="D100" s="4"/>
      <c r="E100" s="4"/>
      <c r="F100" s="4"/>
      <c r="G100" s="4"/>
      <c r="H100" s="4"/>
      <c r="I100" s="4"/>
      <c r="J100" s="8"/>
      <c r="K100" s="32">
        <f>+COUNTIF(K9:K99,L47)</f>
        <v>3</v>
      </c>
      <c r="L100" s="25" t="s">
        <v>180</v>
      </c>
      <c r="M100" s="8"/>
      <c r="N100" s="4">
        <f>COUNTIFS($K$4:$K$92,$L$47,N4:N92,$N$7)</f>
        <v>2</v>
      </c>
      <c r="O100" s="4">
        <f>COUNTIFS($K$4:$K$34,#REF!,O4:O34,$N$6)</f>
        <v>0</v>
      </c>
      <c r="P100" s="4">
        <f>COUNTIFS($K$4:$K$34,#REF!,P4:P34,$N$6)</f>
        <v>0</v>
      </c>
      <c r="Q100" s="4">
        <f>COUNTIFS($K$4:$K$34,#REF!,Q4:Q34,$N$6)</f>
        <v>0</v>
      </c>
      <c r="R100" s="4">
        <f>COUNTIFS($K$4:$K$34,#REF!,R4:R34,$N$6)</f>
        <v>0</v>
      </c>
      <c r="S100" s="4">
        <f>COUNTIFS($K$4:$K$34,#REF!,S4:S34,$N$6)</f>
        <v>0</v>
      </c>
      <c r="T100" s="4">
        <f>COUNTIFS($K$4:$K$34,#REF!,T4:T34,$N$6)</f>
        <v>0</v>
      </c>
      <c r="U100" s="4">
        <f>COUNTIFS($K$4:$K$34,#REF!,U4:U34,$N$6)</f>
        <v>0</v>
      </c>
      <c r="V100" s="4">
        <f>COUNTIFS($K$4:$K$34,#REF!,V4:V34,$N$6)</f>
        <v>0</v>
      </c>
      <c r="W100" s="4">
        <f>COUNTIFS($K$4:$K$34,#REF!,W4:W34,$N$6)</f>
        <v>0</v>
      </c>
      <c r="X100" s="4">
        <f>COUNTIFS($K$4:$K$34,#REF!,X4:X34,$N$6)</f>
        <v>0</v>
      </c>
      <c r="Y100" s="4">
        <f>COUNTIFS($K$4:$K$34,#REF!,Y4:Y34,$N$6)</f>
        <v>0</v>
      </c>
      <c r="Z100" s="4">
        <f>COUNTIFS($K$4:$K$34,#REF!,Z4:Z34,$N$6)</f>
        <v>0</v>
      </c>
      <c r="AA100" s="4">
        <f>COUNTIFS($K$4:$K$34,#REF!,AA4:AA34,$N$6)</f>
        <v>0</v>
      </c>
      <c r="AB100" s="4">
        <f>COUNTIFS($K$4:$K$34,#REF!,AB4:AB34,$N$6)</f>
        <v>0</v>
      </c>
      <c r="AC100" s="4">
        <f>COUNTIFS($K$4:$K$34,#REF!,AC4:AC34,$N$6)</f>
        <v>0</v>
      </c>
      <c r="AD100" s="4">
        <f>COUNTIFS($K$4:$K$34,#REF!,AD4:AD34,$N$6)</f>
        <v>0</v>
      </c>
      <c r="AE100" s="4">
        <f>COUNTIFS($K$4:$K$34,#REF!,AE4:AE34,$N$6)</f>
        <v>0</v>
      </c>
      <c r="AF100" s="4">
        <f>COUNTIFS($K$4:$K$34,#REF!,AF4:AF34,$N$6)</f>
        <v>0</v>
      </c>
      <c r="AG100" s="4">
        <f>COUNTIFS($K$4:$K$34,#REF!,AG4:AG34,$N$6)</f>
        <v>0</v>
      </c>
      <c r="AH100" s="4">
        <f>COUNTIFS($K$4:$K$34,#REF!,AH4:AH34,$N$6)</f>
        <v>0</v>
      </c>
      <c r="AI100" s="4">
        <f>COUNTIFS($K$4:$K$34,#REF!,AI4:AI34,$N$6)</f>
        <v>0</v>
      </c>
      <c r="AJ100" s="4">
        <f>COUNTIFS($K$4:$K$34,#REF!,AJ4:AJ34,$N$6)</f>
        <v>0</v>
      </c>
      <c r="AK100" s="4">
        <f>COUNTIFS($K$4:$K$34,#REF!,AK4:AK34,$N$6)</f>
        <v>0</v>
      </c>
      <c r="AL100" s="4">
        <f>COUNTIFS($K$4:$K$34,#REF!,AL4:AL34,$N$6)</f>
        <v>0</v>
      </c>
      <c r="AM100" s="4">
        <f>COUNTIFS($K$4:$K$34,#REF!,AM4:AM34,$N$6)</f>
        <v>0</v>
      </c>
      <c r="AN100" s="4">
        <f>COUNTIFS($K$4:$K$34,#REF!,AN4:AN34,$N$6)</f>
        <v>0</v>
      </c>
      <c r="AO100" s="4">
        <f>COUNTIFS($K$4:$K$34,#REF!,AO4:AO34,$N$6)</f>
        <v>0</v>
      </c>
      <c r="AP100" s="4">
        <f>COUNTIFS($K$4:$K$34,#REF!,AP4:AP34,$N$6)</f>
        <v>0</v>
      </c>
      <c r="AQ100" s="4">
        <f>COUNTIFS($K$4:$K$34,#REF!,AQ4:AQ34,$N$6)</f>
        <v>0</v>
      </c>
      <c r="AR100" s="4">
        <f>COUNTIFS($K$4:$K$34,#REF!,AR4:AR34,$N$6)</f>
        <v>0</v>
      </c>
      <c r="AS100" s="4">
        <f>COUNTIFS($K$4:$K$34,#REF!,AS4:AS34,$N$6)</f>
        <v>0</v>
      </c>
      <c r="AT100" s="4">
        <f>COUNTIFS($K$4:$K$34,#REF!,AT4:AT34,$N$6)</f>
        <v>0</v>
      </c>
      <c r="AU100" s="4">
        <f>COUNTIFS($K$4:$K$34,#REF!,AU4:AU34,$N$6)</f>
        <v>0</v>
      </c>
      <c r="AV100" s="4">
        <f>COUNTIFS($K$4:$K$34,#REF!,AV4:AV34,$N$6)</f>
        <v>0</v>
      </c>
      <c r="AW100" s="4">
        <f>COUNTIFS($K$4:$K$34,#REF!,AW4:AW34,$N$6)</f>
        <v>0</v>
      </c>
      <c r="AX100" s="4">
        <f>COUNTIFS($K$4:$K$34,#REF!,AX4:AX34,$N$6)</f>
        <v>0</v>
      </c>
      <c r="AY100" s="4">
        <f>COUNTIFS($K$4:$K$34,#REF!,AY4:AY34,$N$6)</f>
        <v>0</v>
      </c>
      <c r="AZ100" s="4">
        <f>COUNTIFS($K$4:$K$34,#REF!,AZ4:AZ34,$N$6)</f>
        <v>0</v>
      </c>
      <c r="BA100" s="4">
        <f>COUNTIFS($K$4:$K$34,#REF!,BA4:BA34,$N$6)</f>
        <v>0</v>
      </c>
      <c r="BB100" s="4">
        <f>COUNTIFS($K$4:$K$34,#REF!,BB4:BB34,$N$6)</f>
        <v>0</v>
      </c>
      <c r="BC100" s="4">
        <f>COUNTIFS($K$4:$K$34,#REF!,BC4:BC34,$N$6)</f>
        <v>0</v>
      </c>
      <c r="BD100" s="4">
        <f>COUNTIFS($K$4:$K$34,#REF!,BD4:BD34,$N$6)</f>
        <v>0</v>
      </c>
      <c r="BE100" s="4">
        <f>COUNTIFS($K$4:$K$34,#REF!,BE4:BE34,$N$6)</f>
        <v>0</v>
      </c>
      <c r="BF100" s="4">
        <f>COUNTIFS($K$4:$K$34,#REF!,BF4:BF34,$N$6)</f>
        <v>0</v>
      </c>
      <c r="BG100" s="4">
        <f>COUNTIFS($K$4:$K$34,#REF!,BG4:BG34,$N$6)</f>
        <v>0</v>
      </c>
      <c r="BH100" s="4">
        <f>COUNTIFS($K$4:$K$34,#REF!,BH4:BH34,$N$6)</f>
        <v>0</v>
      </c>
      <c r="BI100" s="4">
        <f>COUNTIFS($K$4:$K$34,#REF!,BI4:BI34,$N$6)</f>
        <v>0</v>
      </c>
      <c r="BJ100" s="4">
        <f>COUNTIFS($K$4:$K$34,#REF!,BJ4:BJ34,$N$6)</f>
        <v>0</v>
      </c>
      <c r="BK100" s="4">
        <f>COUNTIFS($K$4:$K$34,#REF!,BK4:BK34,$N$6)</f>
        <v>0</v>
      </c>
      <c r="BL100" s="4">
        <f>COUNTIFS($K$4:$K$34,#REF!,BL4:BL34,$N$6)</f>
        <v>0</v>
      </c>
      <c r="BM100" s="4">
        <f>COUNTIFS($K$4:$K$34,#REF!,BM4:BM34,$N$6)</f>
        <v>0</v>
      </c>
      <c r="BN100" s="4">
        <f>COUNTIFS($K$4:$K$34,#REF!,BN4:BN34,$N$6)</f>
        <v>0</v>
      </c>
      <c r="BO100" s="4">
        <f>COUNTIFS($K$4:$K$34,#REF!,BO4:BO34,$N$6)</f>
        <v>0</v>
      </c>
      <c r="BP100" s="4">
        <f>COUNTIFS($K$4:$K$34,#REF!,BP4:BP34,$N$6)</f>
        <v>0</v>
      </c>
      <c r="BQ100" s="4">
        <f>COUNTIFS($K$4:$K$34,#REF!,BQ4:BQ34,$N$6)</f>
        <v>0</v>
      </c>
      <c r="BR100" s="4">
        <f>COUNTIFS($K$4:$K$34,#REF!,BR4:BR34,$N$6)</f>
        <v>0</v>
      </c>
      <c r="BS100" s="4">
        <f>COUNTIFS($K$4:$K$34,#REF!,BS4:BS34,$N$6)</f>
        <v>0</v>
      </c>
      <c r="BT100" s="4">
        <f>COUNTIFS($K$4:$K$34,#REF!,BT4:BT34,$N$6)</f>
        <v>0</v>
      </c>
      <c r="BU100" s="4">
        <f>COUNTIFS($K$4:$K$34,#REF!,BU4:BU34,$N$6)</f>
        <v>0</v>
      </c>
      <c r="BV100" s="4">
        <f>COUNTIFS($K$4:$K$34,#REF!,BV4:BV34,$N$6)</f>
        <v>0</v>
      </c>
      <c r="BW100" s="4">
        <f>COUNTIFS($K$4:$K$34,#REF!,BW4:BW34,$N$6)</f>
        <v>0</v>
      </c>
      <c r="BX100" s="4">
        <f>COUNTIFS($K$4:$K$34,#REF!,BX4:BX34,$N$6)</f>
        <v>0</v>
      </c>
      <c r="BY100" s="4">
        <f>COUNTIFS($K$4:$K$34,#REF!,BY4:BY34,$N$6)</f>
        <v>0</v>
      </c>
      <c r="BZ100" s="4">
        <f>COUNTIFS($K$4:$K$34,#REF!,BZ4:BZ34,$N$6)</f>
        <v>0</v>
      </c>
      <c r="CA100" s="4">
        <f>COUNTIFS($K$4:$K$34,#REF!,CA4:CA34,$N$6)</f>
        <v>0</v>
      </c>
      <c r="CB100" s="4">
        <f>COUNTIFS($K$4:$K$34,#REF!,CB4:CB34,$N$6)</f>
        <v>0</v>
      </c>
      <c r="CC100" s="4">
        <f>COUNTIFS($K$4:$K$34,#REF!,CC4:CC34,$N$6)</f>
        <v>0</v>
      </c>
      <c r="CD100" s="4">
        <f>COUNTIFS($K$4:$K$34,#REF!,CD4:CD34,$N$6)</f>
        <v>0</v>
      </c>
      <c r="CE100" s="4">
        <f>COUNTIFS($K$4:$K$34,#REF!,CE4:CE34,$N$6)</f>
        <v>0</v>
      </c>
      <c r="CF100" s="4">
        <f>COUNTIFS($K$4:$K$34,#REF!,CF4:CF34,$N$6)</f>
        <v>0</v>
      </c>
      <c r="CG100" s="4">
        <f>COUNTIFS($K$4:$K$34,#REF!,CG4:CG34,$N$6)</f>
        <v>0</v>
      </c>
      <c r="CH100" s="4">
        <f>COUNTIFS($K$4:$K$34,#REF!,CH4:CH34,$N$6)</f>
        <v>0</v>
      </c>
      <c r="CI100" s="4">
        <f>COUNTIFS($K$4:$K$34,#REF!,CI4:CI34,$N$6)</f>
        <v>0</v>
      </c>
      <c r="CJ100" s="4">
        <f>COUNTIFS($K$4:$K$34,#REF!,CJ4:CJ34,$N$6)</f>
        <v>0</v>
      </c>
      <c r="CK100" s="4">
        <f>COUNTIFS($K$4:$K$34,#REF!,CK4:CK34,$N$6)</f>
        <v>0</v>
      </c>
      <c r="CL100" s="4">
        <f>COUNTIFS($K$4:$K$34,#REF!,CL4:CL34,$N$6)</f>
        <v>0</v>
      </c>
      <c r="CM100" s="4">
        <f>COUNTIFS($K$4:$K$34,#REF!,CM4:CM34,$N$6)</f>
        <v>0</v>
      </c>
      <c r="CN100" s="4">
        <f>COUNTIFS($K$4:$K$34,#REF!,CN4:CN34,$N$6)</f>
        <v>0</v>
      </c>
      <c r="CO100" s="4">
        <f>COUNTIFS($K$4:$K$34,#REF!,CO4:CO34,$N$6)</f>
        <v>0</v>
      </c>
      <c r="CP100" s="4">
        <f>COUNTIFS($K$4:$K$34,#REF!,CP4:CP34,$N$6)</f>
        <v>0</v>
      </c>
      <c r="CQ100" s="4">
        <f>COUNTIFS($K$4:$K$34,#REF!,CQ4:CQ34,$N$6)</f>
        <v>0</v>
      </c>
      <c r="CR100" s="4">
        <f>COUNTIFS($K$4:$K$34,#REF!,CR4:CR34,$N$6)</f>
        <v>0</v>
      </c>
      <c r="CS100" s="4">
        <f>COUNTIFS($K$4:$K$34,#REF!,CS4:CS34,$N$6)</f>
        <v>0</v>
      </c>
      <c r="CT100" s="4">
        <f>COUNTIFS($K$4:$K$34,#REF!,CT4:CT34,$N$6)</f>
        <v>0</v>
      </c>
      <c r="CU100" s="4">
        <f>COUNTIFS($K$4:$K$34,#REF!,CU4:CU34,$N$6)</f>
        <v>0</v>
      </c>
      <c r="CV100" s="4">
        <f>COUNTIFS($K$4:$K$34,#REF!,CV4:CV34,$N$6)</f>
        <v>0</v>
      </c>
      <c r="CW100" s="4">
        <f>COUNTIFS($K$4:$K$34,#REF!,CW4:CW34,$N$6)</f>
        <v>0</v>
      </c>
      <c r="CX100" s="4">
        <f>COUNTIFS($K$4:$K$34,#REF!,CX4:CX34,$N$6)</f>
        <v>0</v>
      </c>
      <c r="CY100" s="4">
        <f>COUNTIFS($K$4:$K$34,#REF!,CY4:CY34,$N$6)</f>
        <v>0</v>
      </c>
      <c r="CZ100" s="4">
        <f>COUNTIFS($K$4:$K$34,#REF!,CZ4:CZ34,$N$6)</f>
        <v>0</v>
      </c>
      <c r="DA100" s="4">
        <f>COUNTIFS($K$4:$K$34,#REF!,DA4:DA34,$N$6)</f>
        <v>0</v>
      </c>
      <c r="DB100" s="4">
        <f>COUNTIFS($K$4:$K$34,#REF!,DB4:DB34,$N$6)</f>
        <v>0</v>
      </c>
      <c r="DC100" s="4">
        <f>COUNTIFS($K$4:$K$34,#REF!,DC4:DC34,$N$6)</f>
        <v>0</v>
      </c>
      <c r="DD100" s="4">
        <f>COUNTIFS($K$4:$K$34,#REF!,DD4:DD34,$N$6)</f>
        <v>0</v>
      </c>
      <c r="DE100" s="4">
        <f>COUNTIFS($K$4:$K$34,#REF!,DE4:DE34,$N$6)</f>
        <v>0</v>
      </c>
      <c r="DF100" s="4">
        <f>COUNTIFS($K$4:$K$34,#REF!,DF4:DF34,$N$6)</f>
        <v>0</v>
      </c>
      <c r="DG100" s="4">
        <f>COUNTIFS($K$4:$K$34,#REF!,DG4:DG34,$N$6)</f>
        <v>0</v>
      </c>
      <c r="DH100" s="4">
        <f>COUNTIFS($K$4:$K$34,#REF!,DH4:DH34,$N$6)</f>
        <v>0</v>
      </c>
      <c r="DI100" s="4">
        <f>COUNTIFS($K$4:$K$34,#REF!,DI4:DI34,$N$6)</f>
        <v>0</v>
      </c>
      <c r="DJ100" s="4">
        <f>COUNTIFS($K$4:$K$34,#REF!,DJ4:DJ34,$N$6)</f>
        <v>0</v>
      </c>
      <c r="DK100" s="4">
        <f>COUNTIFS($K$4:$K$34,#REF!,DK4:DK34,$N$6)</f>
        <v>0</v>
      </c>
      <c r="DL100" s="4">
        <f>COUNTIFS($K$4:$K$34,#REF!,DL4:DL34,$N$6)</f>
        <v>0</v>
      </c>
      <c r="DM100" s="4">
        <f>COUNTIFS($K$4:$K$34,#REF!,DM4:DM34,$N$6)</f>
        <v>0</v>
      </c>
      <c r="DN100" s="4">
        <f>COUNTIFS($K$4:$K$34,#REF!,DN4:DN34,$N$6)</f>
        <v>0</v>
      </c>
      <c r="DO100" s="4">
        <f>COUNTIFS($K$4:$K$34,#REF!,DO4:DO34,$N$6)</f>
        <v>0</v>
      </c>
      <c r="DP100" s="4">
        <f>COUNTIFS($K$4:$K$34,#REF!,DP4:DP34,$N$6)</f>
        <v>0</v>
      </c>
      <c r="DQ100" s="4">
        <f>COUNTIFS($K$4:$K$34,#REF!,DQ4:DQ34,$N$6)</f>
        <v>0</v>
      </c>
      <c r="DR100" s="4">
        <f>COUNTIFS($K$4:$K$34,#REF!,DR4:DR34,$N$6)</f>
        <v>0</v>
      </c>
      <c r="DS100" s="4">
        <f>COUNTIFS($K$4:$K$34,#REF!,DS4:DS34,$N$6)</f>
        <v>0</v>
      </c>
      <c r="DT100" s="4">
        <f>COUNTIFS($K$4:$K$34,#REF!,DT4:DT34,$N$6)</f>
        <v>0</v>
      </c>
      <c r="DU100" s="4">
        <f>COUNTIFS($K$4:$K$34,#REF!,DU4:DU34,$N$6)</f>
        <v>0</v>
      </c>
      <c r="DV100" s="4">
        <f>COUNTIFS($K$4:$K$34,#REF!,DV4:DV34,$N$6)</f>
        <v>0</v>
      </c>
      <c r="DW100" s="4">
        <f>COUNTIFS($K$4:$K$34,#REF!,DW4:DW34,$N$6)</f>
        <v>0</v>
      </c>
      <c r="DX100" t="s">
        <v>36</v>
      </c>
    </row>
    <row r="101" spans="1:128" ht="15">
      <c r="A101" s="4"/>
      <c r="B101" s="4"/>
      <c r="C101" s="48"/>
      <c r="D101" s="4"/>
      <c r="E101" s="4"/>
      <c r="F101" s="4"/>
      <c r="G101" s="4"/>
      <c r="H101" s="4"/>
      <c r="I101" s="4"/>
      <c r="J101" s="8"/>
      <c r="K101" s="4"/>
      <c r="L101" s="4"/>
      <c r="M101" s="4"/>
      <c r="N101" s="4">
        <f t="shared" ref="N101:N111" si="28">IF(AND(K11="Fruits et légumes",N11="OUI"),1,0)</f>
        <v>0</v>
      </c>
      <c r="O101" s="33"/>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5"/>
      <c r="DX101" t="s">
        <v>36</v>
      </c>
    </row>
    <row r="102" spans="1:128" ht="15">
      <c r="A102" s="4"/>
      <c r="B102" s="4"/>
      <c r="C102" s="48"/>
      <c r="D102" s="4"/>
      <c r="E102" s="4"/>
      <c r="F102" s="4"/>
      <c r="G102" s="4"/>
      <c r="H102" s="4"/>
      <c r="I102" s="4"/>
      <c r="J102" s="8"/>
      <c r="K102" s="4"/>
      <c r="L102" s="4"/>
      <c r="M102" s="4"/>
      <c r="N102" s="4">
        <f t="shared" si="28"/>
        <v>1</v>
      </c>
      <c r="O102" s="33"/>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5"/>
      <c r="DX102" t="s">
        <v>36</v>
      </c>
    </row>
    <row r="103" spans="1:128" ht="15">
      <c r="A103" s="4"/>
      <c r="B103" s="4"/>
      <c r="C103" s="48"/>
      <c r="D103" s="4"/>
      <c r="E103" s="4"/>
      <c r="F103" s="4"/>
      <c r="G103" s="4"/>
      <c r="H103" s="4"/>
      <c r="I103" s="4"/>
      <c r="J103" s="8"/>
      <c r="K103" s="4"/>
      <c r="L103" s="4"/>
      <c r="M103" s="4"/>
      <c r="N103" s="4">
        <f t="shared" si="28"/>
        <v>1</v>
      </c>
      <c r="O103" s="33"/>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5"/>
      <c r="DX103" t="s">
        <v>36</v>
      </c>
    </row>
    <row r="104" spans="1:128" ht="15">
      <c r="A104" s="4"/>
      <c r="B104" s="4"/>
      <c r="C104" s="48"/>
      <c r="D104" s="4"/>
      <c r="E104" s="4"/>
      <c r="F104" s="4"/>
      <c r="G104" s="4"/>
      <c r="H104" s="4"/>
      <c r="I104" s="4"/>
      <c r="J104" s="8"/>
      <c r="K104" s="4"/>
      <c r="L104" s="4"/>
      <c r="M104" s="4"/>
      <c r="N104" s="4">
        <f t="shared" si="28"/>
        <v>1</v>
      </c>
      <c r="O104" s="33"/>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5"/>
      <c r="DX104" t="s">
        <v>36</v>
      </c>
    </row>
    <row r="105" spans="1:128" ht="15">
      <c r="A105" s="4"/>
      <c r="B105" s="4"/>
      <c r="C105" s="48"/>
      <c r="D105" s="4"/>
      <c r="E105" s="4"/>
      <c r="F105" s="4"/>
      <c r="G105" s="4"/>
      <c r="H105" s="4"/>
      <c r="I105" s="4"/>
      <c r="J105" s="8"/>
      <c r="K105" s="4"/>
      <c r="L105" s="4"/>
      <c r="M105" s="4"/>
      <c r="N105" s="4">
        <f t="shared" si="28"/>
        <v>1</v>
      </c>
      <c r="O105" s="33"/>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5"/>
      <c r="DX105" t="s">
        <v>36</v>
      </c>
    </row>
    <row r="106" spans="1:128" ht="15">
      <c r="A106" s="4"/>
      <c r="B106" s="4"/>
      <c r="C106" s="48"/>
      <c r="D106" s="4"/>
      <c r="E106" s="4"/>
      <c r="F106" s="4"/>
      <c r="G106" s="4"/>
      <c r="H106" s="4"/>
      <c r="I106" s="4"/>
      <c r="J106" s="8"/>
      <c r="K106" s="4"/>
      <c r="L106" s="4"/>
      <c r="M106" s="4"/>
      <c r="N106" s="4">
        <f t="shared" si="28"/>
        <v>0</v>
      </c>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5"/>
      <c r="DX106" t="s">
        <v>36</v>
      </c>
    </row>
    <row r="107" spans="1:128" ht="15">
      <c r="A107" s="4"/>
      <c r="B107" s="4"/>
      <c r="C107" s="48"/>
      <c r="D107" s="4"/>
      <c r="E107" s="4"/>
      <c r="F107" s="4"/>
      <c r="G107" s="4"/>
      <c r="H107" s="4"/>
      <c r="I107" s="4"/>
      <c r="J107" s="8"/>
      <c r="K107" s="4"/>
      <c r="L107" s="4"/>
      <c r="M107" s="4"/>
      <c r="N107" s="4">
        <f t="shared" si="28"/>
        <v>0</v>
      </c>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5"/>
      <c r="DX107" t="s">
        <v>36</v>
      </c>
    </row>
    <row r="108" spans="1:128" ht="15">
      <c r="A108" s="4"/>
      <c r="B108" s="4"/>
      <c r="C108" s="48"/>
      <c r="D108" s="4"/>
      <c r="E108" s="4"/>
      <c r="F108" s="4"/>
      <c r="G108" s="4"/>
      <c r="H108" s="4"/>
      <c r="I108" s="4"/>
      <c r="J108" s="8"/>
      <c r="K108" s="4"/>
      <c r="L108" s="4"/>
      <c r="M108" s="4"/>
      <c r="N108" s="4">
        <f t="shared" si="28"/>
        <v>0</v>
      </c>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5"/>
      <c r="DX108" t="s">
        <v>36</v>
      </c>
    </row>
    <row r="109" spans="1:128">
      <c r="H109" s="4"/>
      <c r="N109" s="4">
        <f t="shared" si="28"/>
        <v>0</v>
      </c>
    </row>
    <row r="110" spans="1:128">
      <c r="H110" s="4"/>
      <c r="N110" s="4">
        <f t="shared" si="28"/>
        <v>0</v>
      </c>
    </row>
    <row r="111" spans="1:128">
      <c r="H111" s="4"/>
      <c r="N111" s="4">
        <f t="shared" si="28"/>
        <v>0</v>
      </c>
    </row>
    <row r="112" spans="1:128">
      <c r="N112" s="4" t="b">
        <f>AND(K22="Fruits et légumes",N22="OUI")</f>
        <v>0</v>
      </c>
    </row>
  </sheetData>
  <autoFilter ref="K1:K108"/>
  <mergeCells count="28">
    <mergeCell ref="N2:S2"/>
    <mergeCell ref="T2:U2"/>
    <mergeCell ref="V2:X2"/>
    <mergeCell ref="Y2:Z2"/>
    <mergeCell ref="AA2:AD2"/>
    <mergeCell ref="CC2:CF2"/>
    <mergeCell ref="CG2:CM2"/>
    <mergeCell ref="AE2:AK2"/>
    <mergeCell ref="AL2:AM2"/>
    <mergeCell ref="AN2:AP2"/>
    <mergeCell ref="AQ2:AR2"/>
    <mergeCell ref="AS2:AV2"/>
    <mergeCell ref="T1:AK1"/>
    <mergeCell ref="AL1:BC1"/>
    <mergeCell ref="BD1:BU1"/>
    <mergeCell ref="BV1:CM1"/>
    <mergeCell ref="CR2:CS2"/>
    <mergeCell ref="CP2:CQ2"/>
    <mergeCell ref="CN2:CO2"/>
    <mergeCell ref="AW2:BC2"/>
    <mergeCell ref="BD2:BE2"/>
    <mergeCell ref="BF2:BH2"/>
    <mergeCell ref="BI2:BJ2"/>
    <mergeCell ref="BK2:BN2"/>
    <mergeCell ref="BO2:BU2"/>
    <mergeCell ref="BV2:BW2"/>
    <mergeCell ref="BX2:BZ2"/>
    <mergeCell ref="CA2:CB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2"/>
  <sheetViews>
    <sheetView topLeftCell="H28" zoomScale="117" zoomScaleNormal="117" workbookViewId="0">
      <selection activeCell="B3" sqref="B3"/>
    </sheetView>
  </sheetViews>
  <sheetFormatPr baseColWidth="10" defaultRowHeight="14.25"/>
  <cols>
    <col min="3" max="3" width="17.375" customWidth="1"/>
    <col min="4" max="4" width="15.5" customWidth="1"/>
    <col min="5" max="6" width="15.125" customWidth="1"/>
    <col min="7" max="7" width="18.5" customWidth="1"/>
  </cols>
  <sheetData>
    <row r="1" spans="1:18" ht="15">
      <c r="A1" s="15"/>
      <c r="B1" s="15"/>
      <c r="C1" s="15"/>
      <c r="D1" s="15"/>
      <c r="E1" s="15"/>
      <c r="F1" s="15"/>
      <c r="G1" s="15"/>
      <c r="H1" s="15"/>
      <c r="I1" s="15"/>
      <c r="J1" s="15"/>
      <c r="K1" s="15"/>
      <c r="L1" s="15"/>
      <c r="M1" s="15"/>
      <c r="N1" s="15"/>
      <c r="O1" s="15"/>
      <c r="P1" s="15"/>
      <c r="Q1" s="15"/>
      <c r="R1" s="15"/>
    </row>
    <row r="2" spans="1:18" ht="43.15" customHeight="1">
      <c r="A2" s="16"/>
      <c r="B2" s="15"/>
      <c r="C2" s="15"/>
      <c r="D2" s="15"/>
      <c r="E2" s="15"/>
      <c r="F2" s="15"/>
      <c r="G2" s="15"/>
      <c r="H2" s="15"/>
      <c r="I2" s="15"/>
      <c r="J2" s="15"/>
      <c r="K2" s="15"/>
      <c r="L2" s="15"/>
      <c r="M2" s="15"/>
      <c r="N2" s="15"/>
      <c r="O2" s="15"/>
      <c r="P2" s="15"/>
      <c r="Q2" s="15"/>
      <c r="R2" s="15"/>
    </row>
    <row r="3" spans="1:18" ht="40.15" customHeight="1">
      <c r="A3" s="16"/>
      <c r="B3" s="16" t="s">
        <v>233</v>
      </c>
      <c r="C3" s="2" t="s">
        <v>230</v>
      </c>
      <c r="D3" s="2" t="s">
        <v>231</v>
      </c>
      <c r="E3" s="2" t="s">
        <v>232</v>
      </c>
      <c r="F3" s="2" t="s">
        <v>151</v>
      </c>
      <c r="G3" s="2" t="s">
        <v>9</v>
      </c>
      <c r="I3" s="16"/>
      <c r="J3" s="16"/>
      <c r="K3" s="16"/>
      <c r="L3" s="16"/>
      <c r="M3" s="16"/>
      <c r="N3" s="16"/>
      <c r="O3" s="16"/>
      <c r="P3" s="16"/>
      <c r="Q3" s="16"/>
      <c r="R3" s="16"/>
    </row>
    <row r="4" spans="1:18">
      <c r="A4" s="4" t="s">
        <v>101</v>
      </c>
      <c r="B4" s="27">
        <f>+'Analyse resultats'!N94</f>
        <v>10</v>
      </c>
      <c r="C4" s="27">
        <f>+'Analyse resultats'!O94</f>
        <v>2</v>
      </c>
      <c r="D4" s="27">
        <f>+'Analyse resultats'!P94</f>
        <v>0</v>
      </c>
      <c r="E4" s="27">
        <f>+'Analyse resultats'!Q94</f>
        <v>0</v>
      </c>
      <c r="F4" s="27">
        <f>+'Analyse resultats'!R94</f>
        <v>1</v>
      </c>
      <c r="G4" s="27">
        <f>+'Analyse resultats'!S94</f>
        <v>0</v>
      </c>
      <c r="H4" s="16"/>
      <c r="I4" s="16"/>
      <c r="J4" s="16"/>
      <c r="K4" s="16"/>
      <c r="L4" s="16"/>
      <c r="M4" s="16"/>
      <c r="N4" s="16"/>
      <c r="O4" s="16"/>
      <c r="P4" s="16"/>
      <c r="Q4" s="16"/>
      <c r="R4" s="16"/>
    </row>
    <row r="5" spans="1:18">
      <c r="A5" s="25" t="s">
        <v>74</v>
      </c>
      <c r="B5" s="27">
        <f>+'Analyse resultats'!N95</f>
        <v>9</v>
      </c>
      <c r="C5" s="27">
        <f>+'Analyse resultats'!O95</f>
        <v>4</v>
      </c>
      <c r="D5" s="27">
        <f>+'Analyse resultats'!P95</f>
        <v>2</v>
      </c>
      <c r="E5" s="27">
        <f>+'Analyse resultats'!Q95</f>
        <v>2</v>
      </c>
      <c r="F5" s="27">
        <f>+'Analyse resultats'!R95</f>
        <v>1</v>
      </c>
      <c r="G5" s="27">
        <f>+'Analyse resultats'!S95</f>
        <v>1</v>
      </c>
      <c r="H5" s="16"/>
      <c r="I5" s="16"/>
      <c r="J5" s="16"/>
      <c r="K5" s="16"/>
      <c r="L5" s="16"/>
      <c r="M5" s="16"/>
      <c r="N5" s="16"/>
      <c r="O5" s="16"/>
      <c r="P5" s="16"/>
      <c r="Q5" s="16"/>
      <c r="R5" s="16"/>
    </row>
    <row r="6" spans="1:18">
      <c r="A6" s="4" t="s">
        <v>42</v>
      </c>
      <c r="B6" s="27">
        <f>+'Analyse resultats'!N96</f>
        <v>4</v>
      </c>
      <c r="C6" s="27">
        <f>+'Analyse resultats'!O96</f>
        <v>2</v>
      </c>
      <c r="D6" s="27">
        <f>+'Analyse resultats'!P96</f>
        <v>1</v>
      </c>
      <c r="E6" s="27">
        <f>+'Analyse resultats'!Q96</f>
        <v>2</v>
      </c>
      <c r="F6" s="27">
        <f>+'Analyse resultats'!R96</f>
        <v>0</v>
      </c>
      <c r="G6" s="27">
        <f>+'Analyse resultats'!S96</f>
        <v>0</v>
      </c>
      <c r="H6" s="16"/>
      <c r="I6" s="16"/>
      <c r="J6" s="16"/>
      <c r="K6" s="16"/>
      <c r="L6" s="16"/>
      <c r="M6" s="16"/>
      <c r="N6" s="16"/>
      <c r="O6" s="16"/>
      <c r="P6" s="16"/>
      <c r="Q6" s="16"/>
      <c r="R6" s="16"/>
    </row>
    <row r="7" spans="1:18">
      <c r="A7" s="25" t="s">
        <v>137</v>
      </c>
      <c r="B7" s="27">
        <f>+'Analyse resultats'!N97</f>
        <v>10</v>
      </c>
      <c r="C7" s="27">
        <f>+'Analyse resultats'!O97</f>
        <v>1</v>
      </c>
      <c r="D7" s="27">
        <f>+'Analyse resultats'!P97</f>
        <v>0</v>
      </c>
      <c r="E7" s="27">
        <f>+'Analyse resultats'!Q97</f>
        <v>0</v>
      </c>
      <c r="F7" s="27">
        <f>+'Analyse resultats'!R97</f>
        <v>1</v>
      </c>
      <c r="G7" s="27">
        <f>+'Analyse resultats'!S97</f>
        <v>1</v>
      </c>
      <c r="H7" s="16"/>
      <c r="I7" s="16"/>
      <c r="J7" s="16"/>
      <c r="K7" s="16"/>
      <c r="L7" s="16"/>
      <c r="M7" s="16"/>
      <c r="N7" s="16"/>
      <c r="O7" s="16"/>
      <c r="P7" s="16"/>
      <c r="Q7" s="16"/>
      <c r="R7" s="16"/>
    </row>
    <row r="8" spans="1:18">
      <c r="A8" s="4" t="s">
        <v>58</v>
      </c>
      <c r="B8" s="27">
        <f>+'Analyse resultats'!N98</f>
        <v>7</v>
      </c>
      <c r="C8" s="27">
        <f>+'Analyse resultats'!O98</f>
        <v>4</v>
      </c>
      <c r="D8" s="27">
        <f>+'Analyse resultats'!P98</f>
        <v>0</v>
      </c>
      <c r="E8" s="27">
        <f>+'Analyse resultats'!Q98</f>
        <v>2</v>
      </c>
      <c r="F8" s="27">
        <f>+'Analyse resultats'!R98</f>
        <v>0</v>
      </c>
      <c r="G8" s="27">
        <f>+'Analyse resultats'!S98</f>
        <v>0</v>
      </c>
      <c r="H8" s="16"/>
      <c r="I8" s="16"/>
      <c r="J8" s="16"/>
      <c r="K8" s="16"/>
      <c r="L8" s="16"/>
      <c r="M8" s="16"/>
      <c r="N8" s="16"/>
      <c r="O8" s="16"/>
      <c r="P8" s="16"/>
      <c r="Q8" s="16"/>
      <c r="R8" s="16"/>
    </row>
    <row r="9" spans="1:18">
      <c r="A9" s="25" t="s">
        <v>168</v>
      </c>
      <c r="B9" s="27">
        <f>+'Analyse resultats'!N99</f>
        <v>2</v>
      </c>
      <c r="C9" s="27">
        <f>+'Analyse resultats'!O99</f>
        <v>2</v>
      </c>
      <c r="D9" s="27">
        <f>+'Analyse resultats'!P99</f>
        <v>0</v>
      </c>
      <c r="E9" s="27">
        <f>+'Analyse resultats'!Q99</f>
        <v>0</v>
      </c>
      <c r="F9" s="27">
        <f>+'Analyse resultats'!R99</f>
        <v>0</v>
      </c>
      <c r="G9" s="27">
        <f>+'Analyse resultats'!S99</f>
        <v>0</v>
      </c>
      <c r="H9" s="16"/>
      <c r="I9" s="16"/>
      <c r="J9" s="16"/>
      <c r="K9" s="16"/>
      <c r="L9" s="16"/>
      <c r="M9" s="16"/>
      <c r="N9" s="16"/>
      <c r="O9" s="16"/>
      <c r="P9" s="16"/>
      <c r="Q9" s="16"/>
      <c r="R9" s="16"/>
    </row>
    <row r="10" spans="1:18">
      <c r="A10" s="25" t="s">
        <v>180</v>
      </c>
      <c r="B10" s="27">
        <f>+'Analyse resultats'!N100</f>
        <v>2</v>
      </c>
      <c r="C10" s="27">
        <f>+'Analyse resultats'!O100</f>
        <v>0</v>
      </c>
      <c r="D10" s="27">
        <f>+'Analyse resultats'!P100</f>
        <v>0</v>
      </c>
      <c r="E10" s="27">
        <f>+'Analyse resultats'!Q100</f>
        <v>0</v>
      </c>
      <c r="F10" s="27">
        <f>+'Analyse resultats'!R100</f>
        <v>0</v>
      </c>
      <c r="G10" s="27">
        <f>+'Analyse resultats'!S100</f>
        <v>0</v>
      </c>
      <c r="H10" s="16"/>
      <c r="I10" s="16"/>
      <c r="J10" s="16"/>
      <c r="K10" s="16"/>
      <c r="L10" s="16"/>
      <c r="M10" s="16"/>
      <c r="N10" s="16"/>
      <c r="O10" s="16"/>
      <c r="P10" s="16"/>
      <c r="Q10" s="16"/>
      <c r="R10" s="16"/>
    </row>
    <row r="11" spans="1:18" ht="15">
      <c r="A11" s="60" t="s">
        <v>225</v>
      </c>
      <c r="B11" s="61">
        <f t="shared" ref="B11:G11" si="0">SUM(B4:B10)</f>
        <v>44</v>
      </c>
      <c r="C11" s="61">
        <f t="shared" si="0"/>
        <v>15</v>
      </c>
      <c r="D11" s="61">
        <f t="shared" si="0"/>
        <v>3</v>
      </c>
      <c r="E11" s="61">
        <f t="shared" si="0"/>
        <v>6</v>
      </c>
      <c r="F11" s="61">
        <f t="shared" si="0"/>
        <v>3</v>
      </c>
      <c r="G11" s="61">
        <f t="shared" si="0"/>
        <v>2</v>
      </c>
      <c r="H11" s="16"/>
      <c r="I11" s="16"/>
      <c r="J11" s="16"/>
      <c r="K11" s="16"/>
      <c r="L11" s="16"/>
      <c r="M11" s="16"/>
      <c r="N11" s="16"/>
      <c r="O11" s="16"/>
      <c r="P11" s="16"/>
      <c r="Q11" s="16"/>
      <c r="R11" s="16"/>
    </row>
    <row r="12" spans="1:18">
      <c r="A12" s="16"/>
      <c r="B12" s="16"/>
      <c r="C12" s="16"/>
      <c r="D12" s="16"/>
      <c r="E12" s="16"/>
      <c r="F12" s="16"/>
      <c r="G12" s="16"/>
      <c r="H12" s="16"/>
      <c r="I12" s="16"/>
      <c r="J12" s="16"/>
      <c r="K12" s="16"/>
      <c r="L12" s="16"/>
      <c r="M12" s="16"/>
      <c r="N12" s="16"/>
      <c r="O12" s="16"/>
      <c r="P12" s="16"/>
      <c r="Q12" s="16"/>
      <c r="R12" s="16"/>
    </row>
    <row r="13" spans="1:18">
      <c r="A13" s="16"/>
      <c r="B13" s="16"/>
      <c r="C13" s="16"/>
      <c r="D13" s="16"/>
      <c r="E13" s="16"/>
      <c r="F13" s="16"/>
      <c r="G13" s="16"/>
      <c r="H13" s="16"/>
      <c r="I13" s="16"/>
      <c r="J13" s="16"/>
      <c r="K13" s="16"/>
      <c r="L13" s="16"/>
      <c r="M13" s="16"/>
      <c r="N13" s="16"/>
      <c r="O13" s="16"/>
      <c r="P13" s="16"/>
      <c r="Q13" s="16"/>
      <c r="R13" s="16"/>
    </row>
    <row r="14" spans="1:18">
      <c r="A14" s="16"/>
      <c r="B14" s="16"/>
      <c r="C14" s="16"/>
      <c r="D14" s="16"/>
      <c r="E14" s="16"/>
      <c r="F14" s="16"/>
      <c r="G14" s="16"/>
      <c r="H14" s="16"/>
      <c r="I14" s="16"/>
      <c r="J14" s="16"/>
      <c r="K14" s="16"/>
      <c r="L14" s="16"/>
      <c r="M14" s="16"/>
      <c r="N14" s="16"/>
      <c r="O14" s="16"/>
      <c r="P14" s="16"/>
      <c r="Q14" s="16"/>
      <c r="R14" s="16"/>
    </row>
    <row r="15" spans="1:18">
      <c r="A15" s="16"/>
      <c r="B15" s="16"/>
      <c r="C15" s="16"/>
      <c r="D15" s="16"/>
      <c r="E15" s="16"/>
      <c r="F15" s="16"/>
      <c r="G15" s="16"/>
      <c r="H15" s="16"/>
      <c r="I15" s="16"/>
      <c r="J15" s="16"/>
      <c r="K15" s="16"/>
      <c r="L15" s="16"/>
      <c r="M15" s="16"/>
      <c r="N15" s="16"/>
      <c r="O15" s="16"/>
      <c r="P15" s="16"/>
      <c r="Q15" s="16"/>
      <c r="R15" s="16"/>
    </row>
    <row r="16" spans="1:18">
      <c r="A16" s="16"/>
      <c r="B16" s="16"/>
      <c r="C16" s="16"/>
      <c r="D16" s="16"/>
      <c r="E16" s="16"/>
      <c r="F16" s="16"/>
      <c r="G16" s="16"/>
      <c r="H16" s="16"/>
      <c r="I16" s="16"/>
      <c r="J16" s="16"/>
      <c r="K16" s="16"/>
      <c r="L16" s="16"/>
      <c r="M16" s="16"/>
      <c r="N16" s="16"/>
      <c r="O16" s="16"/>
      <c r="P16" s="16"/>
      <c r="Q16" s="16"/>
      <c r="R16" s="16"/>
    </row>
    <row r="17" spans="1:18">
      <c r="A17" s="16"/>
      <c r="B17" s="16"/>
      <c r="C17" s="16"/>
      <c r="D17" s="16"/>
      <c r="E17" s="16"/>
      <c r="F17" s="16"/>
      <c r="G17" s="16"/>
      <c r="H17" s="16"/>
      <c r="I17" s="16"/>
      <c r="J17" s="16"/>
      <c r="K17" s="16"/>
      <c r="L17" s="16"/>
      <c r="M17" s="16"/>
      <c r="N17" s="16"/>
      <c r="O17" s="16"/>
      <c r="P17" s="16"/>
      <c r="Q17" s="16"/>
      <c r="R17" s="16"/>
    </row>
    <row r="18" spans="1:18">
      <c r="A18" s="16"/>
      <c r="B18" s="16"/>
      <c r="C18" s="16"/>
      <c r="D18" s="16"/>
      <c r="E18" s="16"/>
      <c r="F18" s="16"/>
      <c r="G18" s="16"/>
      <c r="H18" s="16"/>
      <c r="I18" s="16"/>
      <c r="J18" s="16"/>
      <c r="K18" s="16"/>
      <c r="L18" s="16"/>
      <c r="M18" s="16"/>
      <c r="N18" s="16"/>
      <c r="O18" s="16"/>
      <c r="P18" s="16"/>
      <c r="Q18" s="16"/>
      <c r="R18" s="16"/>
    </row>
    <row r="19" spans="1:18">
      <c r="A19" s="16"/>
      <c r="B19" s="16"/>
      <c r="C19" s="16"/>
      <c r="D19" s="16"/>
      <c r="E19" s="16"/>
      <c r="F19" s="16"/>
      <c r="G19" s="16"/>
      <c r="H19" s="16"/>
      <c r="I19" s="16"/>
      <c r="J19" s="16"/>
      <c r="K19" s="16"/>
      <c r="L19" s="16"/>
      <c r="M19" s="16"/>
      <c r="N19" s="16"/>
      <c r="O19" s="16"/>
      <c r="P19" s="16"/>
      <c r="Q19" s="16"/>
      <c r="R19" s="16"/>
    </row>
    <row r="20" spans="1:18">
      <c r="A20" s="16"/>
      <c r="B20" s="16"/>
      <c r="C20" s="16"/>
      <c r="D20" s="16"/>
      <c r="E20" s="16"/>
      <c r="F20" s="16"/>
      <c r="G20" s="16"/>
      <c r="H20" s="16"/>
      <c r="I20" s="16"/>
      <c r="J20" s="16"/>
      <c r="K20" s="16"/>
      <c r="L20" s="16"/>
      <c r="M20" s="16"/>
      <c r="N20" s="16"/>
      <c r="O20" s="16"/>
      <c r="P20" s="16"/>
      <c r="Q20" s="16"/>
      <c r="R20" s="16"/>
    </row>
    <row r="21" spans="1:18">
      <c r="A21" s="16"/>
      <c r="B21" s="16"/>
      <c r="C21" s="16"/>
      <c r="D21" s="16"/>
      <c r="E21" s="16"/>
      <c r="F21" s="16"/>
      <c r="G21" s="16"/>
      <c r="H21" s="16"/>
      <c r="I21" s="16"/>
      <c r="J21" s="16"/>
      <c r="K21" s="16"/>
      <c r="L21" s="16"/>
      <c r="M21" s="16"/>
      <c r="N21" s="16"/>
      <c r="O21" s="16"/>
      <c r="P21" s="16"/>
      <c r="Q21" s="16"/>
      <c r="R21" s="16"/>
    </row>
    <row r="22" spans="1:18">
      <c r="A22" s="16"/>
      <c r="B22" s="16"/>
      <c r="C22" s="16"/>
      <c r="D22" s="16"/>
      <c r="E22" s="16"/>
      <c r="F22" s="16"/>
      <c r="G22" s="16"/>
      <c r="H22" s="16"/>
      <c r="I22" s="16"/>
      <c r="J22" s="16"/>
      <c r="K22" s="16"/>
      <c r="L22" s="16"/>
      <c r="M22" s="16"/>
      <c r="N22" s="16"/>
      <c r="O22" s="16"/>
      <c r="P22" s="16"/>
      <c r="Q22" s="16"/>
      <c r="R22" s="16"/>
    </row>
    <row r="23" spans="1:18">
      <c r="A23" s="16"/>
      <c r="B23" s="16"/>
      <c r="C23" s="16"/>
      <c r="D23" s="16"/>
      <c r="E23" s="16"/>
      <c r="F23" s="16"/>
      <c r="G23" s="16"/>
      <c r="H23" s="16"/>
      <c r="I23" s="16"/>
      <c r="J23" s="16"/>
      <c r="K23" s="16"/>
      <c r="L23" s="16"/>
      <c r="M23" s="16"/>
      <c r="N23" s="16"/>
      <c r="O23" s="16"/>
      <c r="P23" s="16"/>
      <c r="Q23" s="16"/>
      <c r="R23" s="16"/>
    </row>
    <row r="24" spans="1:18">
      <c r="A24" s="16"/>
      <c r="B24" s="16"/>
      <c r="C24" s="16"/>
      <c r="D24" s="16"/>
      <c r="E24" s="16"/>
      <c r="F24" s="16"/>
      <c r="G24" s="16"/>
      <c r="H24" s="16"/>
      <c r="I24" s="16"/>
      <c r="J24" s="16"/>
      <c r="K24" s="16"/>
      <c r="L24" s="16"/>
      <c r="M24" s="16"/>
      <c r="N24" s="16"/>
      <c r="O24" s="16"/>
      <c r="P24" s="16"/>
      <c r="Q24" s="16"/>
      <c r="R24" s="16"/>
    </row>
    <row r="25" spans="1:18">
      <c r="A25" s="16"/>
      <c r="B25" s="16"/>
      <c r="C25" s="16"/>
      <c r="D25" s="16"/>
      <c r="E25" s="16"/>
      <c r="F25" s="16"/>
      <c r="G25" s="16"/>
      <c r="H25" s="16"/>
      <c r="I25" s="16"/>
      <c r="J25" s="16"/>
      <c r="K25" s="16"/>
      <c r="L25" s="16"/>
      <c r="M25" s="16"/>
      <c r="N25" s="16"/>
      <c r="O25" s="16"/>
      <c r="P25" s="16"/>
      <c r="Q25" s="16"/>
      <c r="R25" s="16"/>
    </row>
    <row r="26" spans="1:18">
      <c r="A26" s="16"/>
      <c r="B26" s="16"/>
      <c r="C26" s="16"/>
      <c r="D26" s="16"/>
      <c r="E26" s="16"/>
      <c r="F26" s="16"/>
      <c r="G26" s="16"/>
      <c r="H26" s="16"/>
      <c r="I26" s="16"/>
      <c r="J26" s="16"/>
      <c r="K26" s="16"/>
      <c r="L26" s="16"/>
      <c r="M26" s="16"/>
      <c r="N26" s="16"/>
      <c r="O26" s="16"/>
      <c r="P26" s="16"/>
      <c r="Q26" s="16"/>
      <c r="R26" s="16"/>
    </row>
    <row r="27" spans="1:18">
      <c r="A27" s="16"/>
      <c r="B27" s="16"/>
      <c r="C27" s="16"/>
      <c r="D27" s="16"/>
      <c r="E27" s="16"/>
      <c r="F27" s="16"/>
      <c r="G27" s="16"/>
      <c r="H27" s="16"/>
      <c r="I27" s="16"/>
      <c r="J27" s="16"/>
      <c r="K27" s="16"/>
      <c r="L27" s="16"/>
      <c r="M27" s="16"/>
      <c r="N27" s="16"/>
      <c r="O27" s="16"/>
      <c r="P27" s="16"/>
      <c r="Q27" s="16"/>
      <c r="R27" s="16"/>
    </row>
    <row r="28" spans="1:18">
      <c r="A28" s="16"/>
      <c r="B28" s="16"/>
      <c r="C28" s="16"/>
      <c r="D28" s="16"/>
      <c r="E28" s="16"/>
      <c r="F28" s="16"/>
      <c r="G28" s="16"/>
      <c r="H28" s="16"/>
      <c r="I28" s="16"/>
      <c r="J28" s="16"/>
      <c r="K28" s="16"/>
      <c r="L28" s="16"/>
      <c r="M28" s="16"/>
      <c r="N28" s="16"/>
      <c r="O28" s="16"/>
      <c r="P28" s="16"/>
      <c r="Q28" s="16"/>
      <c r="R28" s="16"/>
    </row>
    <row r="29" spans="1:18">
      <c r="A29" s="16"/>
      <c r="B29" s="16"/>
      <c r="C29" s="16"/>
      <c r="D29" s="16"/>
      <c r="E29" s="16"/>
      <c r="F29" s="16"/>
      <c r="G29" s="16"/>
      <c r="H29" s="16"/>
      <c r="I29" s="16"/>
      <c r="J29" s="16"/>
      <c r="K29" s="16"/>
      <c r="L29" s="16"/>
      <c r="M29" s="16"/>
      <c r="N29" s="16"/>
      <c r="O29" s="16"/>
      <c r="P29" s="16"/>
      <c r="Q29" s="16"/>
      <c r="R29" s="16"/>
    </row>
    <row r="30" spans="1:18">
      <c r="A30" s="16"/>
      <c r="B30" s="16"/>
      <c r="C30" s="16"/>
      <c r="D30" s="16"/>
      <c r="E30" s="16"/>
      <c r="F30" s="16"/>
      <c r="G30" s="16"/>
      <c r="H30" s="16"/>
      <c r="I30" s="16"/>
      <c r="J30" s="16"/>
      <c r="K30" s="16"/>
      <c r="L30" s="16"/>
      <c r="M30" s="16"/>
      <c r="N30" s="16"/>
      <c r="O30" s="16"/>
      <c r="P30" s="16"/>
      <c r="Q30" s="16"/>
      <c r="R30" s="16"/>
    </row>
    <row r="31" spans="1:18">
      <c r="A31" s="16"/>
      <c r="B31" s="16"/>
      <c r="C31" s="16"/>
      <c r="D31" s="16"/>
      <c r="E31" s="16"/>
      <c r="F31" s="16"/>
      <c r="G31" s="16"/>
      <c r="H31" s="16"/>
      <c r="I31" s="16"/>
      <c r="J31" s="16"/>
      <c r="K31" s="16"/>
      <c r="L31" s="16"/>
      <c r="M31" s="16"/>
      <c r="N31" s="16"/>
      <c r="O31" s="16"/>
      <c r="P31" s="16"/>
      <c r="Q31" s="16"/>
      <c r="R31" s="16"/>
    </row>
    <row r="32" spans="1:18">
      <c r="A32" s="16"/>
      <c r="B32" s="16"/>
      <c r="C32" s="16"/>
      <c r="D32" s="16"/>
      <c r="E32" s="16"/>
      <c r="F32" s="16"/>
      <c r="G32" s="16"/>
      <c r="H32" s="16"/>
      <c r="I32" s="16"/>
      <c r="J32" s="16"/>
      <c r="K32" s="16"/>
      <c r="L32" s="16"/>
      <c r="M32" s="16"/>
      <c r="N32" s="16"/>
      <c r="O32" s="16"/>
      <c r="P32" s="16"/>
      <c r="Q32" s="16"/>
      <c r="R32" s="16"/>
    </row>
    <row r="33" spans="1:18">
      <c r="A33" s="16"/>
      <c r="B33" s="16"/>
      <c r="C33" s="16"/>
      <c r="D33" s="16"/>
      <c r="E33" s="16"/>
      <c r="F33" s="16"/>
      <c r="G33" s="16"/>
      <c r="H33" s="16"/>
      <c r="I33" s="16"/>
      <c r="J33" s="16"/>
      <c r="K33" s="16"/>
      <c r="L33" s="16"/>
      <c r="M33" s="16"/>
      <c r="N33" s="16"/>
      <c r="O33" s="16"/>
      <c r="P33" s="16"/>
      <c r="Q33" s="16"/>
      <c r="R33" s="16"/>
    </row>
    <row r="34" spans="1:18">
      <c r="A34" s="16"/>
      <c r="B34" s="16"/>
      <c r="C34" s="16"/>
      <c r="D34" s="16"/>
      <c r="E34" s="16"/>
      <c r="F34" s="16"/>
      <c r="G34" s="16"/>
      <c r="H34" s="16"/>
      <c r="I34" s="16"/>
      <c r="J34" s="16"/>
      <c r="K34" s="16"/>
      <c r="L34" s="16"/>
      <c r="M34" s="16"/>
      <c r="N34" s="16"/>
      <c r="O34" s="16"/>
      <c r="P34" s="16"/>
      <c r="Q34" s="16"/>
      <c r="R34" s="16"/>
    </row>
    <row r="35" spans="1:18">
      <c r="A35" s="16"/>
      <c r="B35" s="16"/>
      <c r="C35" s="16"/>
      <c r="D35" s="16"/>
      <c r="E35" s="16"/>
      <c r="F35" s="16"/>
      <c r="G35" s="16"/>
      <c r="H35" s="16"/>
      <c r="I35" s="16"/>
      <c r="J35" s="16"/>
      <c r="K35" s="16"/>
      <c r="L35" s="16"/>
      <c r="M35" s="16"/>
      <c r="N35" s="16"/>
      <c r="O35" s="16"/>
      <c r="P35" s="16"/>
      <c r="Q35" s="16"/>
      <c r="R35" s="16"/>
    </row>
    <row r="36" spans="1:18">
      <c r="A36" s="16"/>
      <c r="B36" s="16"/>
      <c r="C36" s="16"/>
      <c r="D36" s="16"/>
      <c r="E36" s="16"/>
      <c r="F36" s="16"/>
      <c r="G36" s="16"/>
      <c r="H36" s="16"/>
      <c r="I36" s="16"/>
      <c r="J36" s="16"/>
      <c r="K36" s="16"/>
      <c r="L36" s="16"/>
      <c r="M36" s="16"/>
      <c r="N36" s="16"/>
      <c r="O36" s="16"/>
      <c r="P36" s="16"/>
      <c r="Q36" s="16"/>
      <c r="R36" s="16"/>
    </row>
    <row r="37" spans="1:18">
      <c r="A37" s="16"/>
      <c r="B37" s="16"/>
      <c r="C37" s="16"/>
      <c r="D37" s="16"/>
      <c r="E37" s="16"/>
      <c r="F37" s="16"/>
      <c r="G37" s="16"/>
      <c r="H37" s="16"/>
      <c r="I37" s="16"/>
      <c r="J37" s="16"/>
      <c r="K37" s="16"/>
      <c r="L37" s="16"/>
      <c r="M37" s="16"/>
      <c r="N37" s="16"/>
      <c r="O37" s="16"/>
      <c r="P37" s="16"/>
      <c r="Q37" s="16"/>
      <c r="R37" s="16"/>
    </row>
    <row r="38" spans="1:18">
      <c r="A38" s="16"/>
      <c r="B38" s="16"/>
      <c r="C38" s="16"/>
      <c r="D38" s="16"/>
      <c r="E38" s="16"/>
      <c r="F38" s="16"/>
      <c r="G38" s="16"/>
      <c r="H38" s="16"/>
      <c r="I38" s="16"/>
      <c r="J38" s="16"/>
      <c r="K38" s="16"/>
      <c r="L38" s="16"/>
      <c r="M38" s="16"/>
      <c r="N38" s="16"/>
      <c r="O38" s="16"/>
      <c r="P38" s="16"/>
      <c r="Q38" s="16"/>
      <c r="R38" s="16"/>
    </row>
    <row r="39" spans="1:18">
      <c r="A39" s="16"/>
      <c r="B39" s="16"/>
      <c r="C39" s="16"/>
      <c r="D39" s="16"/>
      <c r="E39" s="16"/>
      <c r="F39" s="16"/>
      <c r="G39" s="16"/>
      <c r="H39" s="16"/>
      <c r="I39" s="16"/>
      <c r="J39" s="16"/>
      <c r="K39" s="16"/>
      <c r="L39" s="16"/>
      <c r="M39" s="16"/>
      <c r="N39" s="16"/>
      <c r="O39" s="16"/>
      <c r="P39" s="16"/>
      <c r="Q39" s="16"/>
      <c r="R39" s="16"/>
    </row>
    <row r="40" spans="1:18">
      <c r="A40" s="16"/>
      <c r="B40" s="16"/>
      <c r="C40" s="16"/>
      <c r="D40" s="16"/>
      <c r="E40" s="16"/>
      <c r="F40" s="16"/>
      <c r="G40" s="16"/>
      <c r="H40" s="16"/>
      <c r="I40" s="16"/>
      <c r="J40" s="16"/>
      <c r="K40" s="16"/>
      <c r="L40" s="16"/>
      <c r="M40" s="16"/>
      <c r="N40" s="16"/>
      <c r="O40" s="16"/>
      <c r="P40" s="16"/>
      <c r="Q40" s="16"/>
      <c r="R40" s="16"/>
    </row>
    <row r="41" spans="1:18">
      <c r="A41" s="16"/>
      <c r="B41" s="16"/>
      <c r="C41" s="16"/>
      <c r="D41" s="16"/>
      <c r="E41" s="16"/>
      <c r="F41" s="16"/>
      <c r="G41" s="16"/>
      <c r="H41" s="16"/>
      <c r="I41" s="16"/>
      <c r="J41" s="16"/>
      <c r="K41" s="16"/>
      <c r="L41" s="16"/>
      <c r="M41" s="16"/>
      <c r="N41" s="16"/>
      <c r="O41" s="16"/>
      <c r="P41" s="16"/>
      <c r="Q41" s="16"/>
      <c r="R41" s="16"/>
    </row>
    <row r="42" spans="1:18">
      <c r="A42" s="16"/>
      <c r="B42" s="16"/>
      <c r="C42" s="16"/>
      <c r="D42" s="16"/>
      <c r="E42" s="16"/>
      <c r="F42" s="16"/>
      <c r="G42" s="16"/>
      <c r="H42" s="16"/>
      <c r="I42" s="16"/>
      <c r="J42" s="16"/>
      <c r="K42" s="16"/>
      <c r="L42" s="16"/>
      <c r="M42" s="16"/>
      <c r="N42" s="16"/>
      <c r="O42" s="16"/>
      <c r="P42" s="16"/>
      <c r="Q42" s="16"/>
      <c r="R42" s="16"/>
    </row>
    <row r="43" spans="1:18">
      <c r="A43" s="16"/>
      <c r="B43" s="16"/>
      <c r="C43" s="16"/>
      <c r="D43" s="16"/>
      <c r="E43" s="16"/>
      <c r="F43" s="16"/>
      <c r="G43" s="16"/>
      <c r="H43" s="16"/>
      <c r="I43" s="16"/>
      <c r="J43" s="16"/>
      <c r="K43" s="16"/>
      <c r="L43" s="16"/>
      <c r="M43" s="16"/>
      <c r="N43" s="16"/>
      <c r="O43" s="16"/>
      <c r="P43" s="16"/>
      <c r="Q43" s="16"/>
      <c r="R43" s="16"/>
    </row>
    <row r="44" spans="1:18">
      <c r="A44" s="16"/>
      <c r="B44" s="16"/>
      <c r="C44" s="16"/>
      <c r="D44" s="16"/>
      <c r="E44" s="16"/>
      <c r="F44" s="16"/>
      <c r="G44" s="16"/>
      <c r="H44" s="16"/>
      <c r="I44" s="16"/>
      <c r="J44" s="16"/>
      <c r="K44" s="16"/>
      <c r="L44" s="16"/>
      <c r="M44" s="16"/>
      <c r="N44" s="16"/>
      <c r="O44" s="16"/>
      <c r="P44" s="16"/>
      <c r="Q44" s="16"/>
      <c r="R44" s="16"/>
    </row>
    <row r="45" spans="1:18">
      <c r="A45" s="16"/>
      <c r="B45" s="16"/>
      <c r="C45" s="16"/>
      <c r="D45" s="16"/>
      <c r="E45" s="16"/>
      <c r="F45" s="16"/>
      <c r="G45" s="16"/>
      <c r="H45" s="16"/>
      <c r="I45" s="16"/>
      <c r="J45" s="16"/>
      <c r="K45" s="16"/>
      <c r="L45" s="16"/>
      <c r="M45" s="16"/>
      <c r="N45" s="16"/>
      <c r="O45" s="16"/>
      <c r="P45" s="16"/>
      <c r="Q45" s="16"/>
      <c r="R45" s="16"/>
    </row>
    <row r="46" spans="1:18">
      <c r="A46" s="16"/>
      <c r="B46" s="16"/>
      <c r="C46" s="16"/>
      <c r="D46" s="16"/>
      <c r="E46" s="16"/>
      <c r="F46" s="16"/>
      <c r="G46" s="16"/>
      <c r="H46" s="16"/>
      <c r="I46" s="16"/>
      <c r="J46" s="16"/>
      <c r="K46" s="16"/>
      <c r="L46" s="16"/>
      <c r="M46" s="16"/>
      <c r="N46" s="16"/>
      <c r="O46" s="16"/>
      <c r="P46" s="16"/>
      <c r="Q46" s="16"/>
      <c r="R46" s="16"/>
    </row>
    <row r="47" spans="1:18">
      <c r="A47" s="16"/>
      <c r="B47" s="16"/>
      <c r="C47" s="16"/>
      <c r="D47" s="16"/>
      <c r="E47" s="16"/>
      <c r="F47" s="16"/>
      <c r="G47" s="16"/>
      <c r="H47" s="16"/>
      <c r="I47" s="16"/>
      <c r="J47" s="16"/>
      <c r="K47" s="16"/>
      <c r="L47" s="16"/>
      <c r="M47" s="16"/>
      <c r="N47" s="16"/>
      <c r="O47" s="16"/>
      <c r="P47" s="16"/>
      <c r="Q47" s="16"/>
      <c r="R47" s="16"/>
    </row>
    <row r="48" spans="1:18">
      <c r="A48" s="16"/>
      <c r="B48" s="16"/>
      <c r="C48" s="16"/>
      <c r="D48" s="16"/>
      <c r="E48" s="16"/>
      <c r="F48" s="16"/>
      <c r="G48" s="16"/>
      <c r="H48" s="16"/>
      <c r="I48" s="16"/>
      <c r="J48" s="16"/>
      <c r="K48" s="16"/>
      <c r="L48" s="16"/>
      <c r="M48" s="16"/>
      <c r="N48" s="16"/>
      <c r="O48" s="16"/>
      <c r="P48" s="16"/>
      <c r="Q48" s="16"/>
      <c r="R48" s="16"/>
    </row>
    <row r="49" spans="1:18">
      <c r="A49" s="16"/>
      <c r="B49" s="16"/>
      <c r="C49" s="16"/>
      <c r="D49" s="16"/>
      <c r="E49" s="16"/>
      <c r="F49" s="16"/>
      <c r="G49" s="16"/>
      <c r="H49" s="16"/>
      <c r="I49" s="16"/>
      <c r="J49" s="16"/>
      <c r="K49" s="16"/>
      <c r="L49" s="16"/>
      <c r="M49" s="16"/>
      <c r="N49" s="16"/>
      <c r="O49" s="16"/>
      <c r="P49" s="16"/>
      <c r="Q49" s="16"/>
      <c r="R49" s="16"/>
    </row>
    <row r="50" spans="1:18">
      <c r="A50" s="16"/>
      <c r="B50" s="16"/>
      <c r="C50" s="16"/>
      <c r="D50" s="16"/>
      <c r="E50" s="16"/>
      <c r="F50" s="16"/>
      <c r="G50" s="16"/>
      <c r="H50" s="16"/>
      <c r="I50" s="16"/>
      <c r="J50" s="16"/>
      <c r="K50" s="16"/>
      <c r="L50" s="16"/>
      <c r="M50" s="16"/>
      <c r="N50" s="16"/>
      <c r="O50" s="16"/>
      <c r="P50" s="16"/>
      <c r="Q50" s="16"/>
      <c r="R50" s="16"/>
    </row>
    <row r="51" spans="1:18">
      <c r="A51" s="16"/>
      <c r="B51" s="16"/>
      <c r="C51" s="16"/>
      <c r="D51" s="16"/>
      <c r="E51" s="16"/>
      <c r="F51" s="16"/>
      <c r="G51" s="16"/>
      <c r="H51" s="16"/>
      <c r="I51" s="16"/>
      <c r="J51" s="16"/>
      <c r="K51" s="16"/>
      <c r="L51" s="16"/>
      <c r="M51" s="16"/>
      <c r="N51" s="16"/>
      <c r="O51" s="16"/>
      <c r="P51" s="16"/>
      <c r="Q51" s="16"/>
      <c r="R51" s="16"/>
    </row>
    <row r="52" spans="1:18">
      <c r="A52" s="16"/>
      <c r="B52" s="16"/>
      <c r="C52" s="16"/>
      <c r="D52" s="16"/>
      <c r="E52" s="16"/>
      <c r="F52" s="16"/>
      <c r="G52" s="16"/>
      <c r="H52" s="16"/>
      <c r="I52" s="16"/>
      <c r="J52" s="16"/>
      <c r="K52" s="16"/>
      <c r="L52" s="16"/>
      <c r="M52" s="16"/>
      <c r="N52" s="16"/>
      <c r="O52" s="16"/>
      <c r="P52" s="16"/>
      <c r="Q52" s="16"/>
      <c r="R52" s="16"/>
    </row>
    <row r="53" spans="1:18">
      <c r="A53" s="16"/>
      <c r="B53" s="16"/>
      <c r="C53" s="16"/>
      <c r="D53" s="16"/>
      <c r="E53" s="16"/>
      <c r="F53" s="16"/>
      <c r="G53" s="16"/>
      <c r="H53" s="16"/>
      <c r="I53" s="16"/>
      <c r="J53" s="16"/>
      <c r="K53" s="16"/>
      <c r="L53" s="16"/>
      <c r="M53" s="16"/>
      <c r="N53" s="16"/>
      <c r="O53" s="16"/>
      <c r="P53" s="16"/>
      <c r="Q53" s="16"/>
      <c r="R53" s="16"/>
    </row>
    <row r="54" spans="1:18">
      <c r="A54" s="16"/>
      <c r="B54" s="16"/>
      <c r="C54" s="16"/>
      <c r="D54" s="16"/>
      <c r="E54" s="16"/>
      <c r="F54" s="16"/>
      <c r="G54" s="16"/>
      <c r="H54" s="16"/>
      <c r="I54" s="16"/>
      <c r="J54" s="16"/>
      <c r="K54" s="16"/>
      <c r="L54" s="16"/>
      <c r="M54" s="16"/>
      <c r="N54" s="16"/>
      <c r="O54" s="16"/>
      <c r="P54" s="16"/>
      <c r="Q54" s="16"/>
      <c r="R54" s="16"/>
    </row>
    <row r="55" spans="1:18">
      <c r="A55" s="16"/>
      <c r="B55" s="16"/>
      <c r="C55" s="16"/>
      <c r="D55" s="16"/>
      <c r="E55" s="16"/>
      <c r="F55" s="16"/>
      <c r="G55" s="16"/>
      <c r="H55" s="16"/>
      <c r="I55" s="16"/>
      <c r="J55" s="16"/>
      <c r="K55" s="16"/>
      <c r="L55" s="16"/>
      <c r="M55" s="16"/>
      <c r="N55" s="16"/>
      <c r="O55" s="16"/>
      <c r="P55" s="16"/>
      <c r="Q55" s="16"/>
      <c r="R55" s="16"/>
    </row>
    <row r="56" spans="1:18">
      <c r="A56" s="16"/>
      <c r="B56" s="16"/>
      <c r="C56" s="16"/>
      <c r="D56" s="16"/>
      <c r="E56" s="16"/>
      <c r="F56" s="16"/>
      <c r="G56" s="16"/>
      <c r="H56" s="16"/>
      <c r="I56" s="16"/>
      <c r="J56" s="16"/>
      <c r="K56" s="16"/>
      <c r="L56" s="16"/>
      <c r="M56" s="16"/>
      <c r="N56" s="16"/>
      <c r="O56" s="16"/>
      <c r="P56" s="16"/>
      <c r="Q56" s="16"/>
      <c r="R56" s="16"/>
    </row>
    <row r="57" spans="1:18">
      <c r="A57" s="16"/>
      <c r="B57" s="16"/>
      <c r="C57" s="16"/>
      <c r="D57" s="16"/>
      <c r="E57" s="16"/>
      <c r="F57" s="16"/>
      <c r="G57" s="16"/>
      <c r="H57" s="16"/>
      <c r="I57" s="16"/>
      <c r="J57" s="16"/>
      <c r="K57" s="16"/>
      <c r="L57" s="16"/>
      <c r="M57" s="16"/>
      <c r="N57" s="16"/>
      <c r="O57" s="16"/>
      <c r="P57" s="16"/>
      <c r="Q57" s="16"/>
      <c r="R57" s="16"/>
    </row>
    <row r="58" spans="1:18">
      <c r="A58" s="16"/>
      <c r="B58" s="16"/>
      <c r="C58" s="16"/>
      <c r="D58" s="16"/>
      <c r="E58" s="16"/>
      <c r="F58" s="16"/>
      <c r="G58" s="16"/>
      <c r="H58" s="16"/>
      <c r="I58" s="16"/>
      <c r="J58" s="16"/>
      <c r="K58" s="16"/>
      <c r="L58" s="16"/>
      <c r="M58" s="16"/>
      <c r="N58" s="16"/>
      <c r="O58" s="16"/>
      <c r="P58" s="16"/>
      <c r="Q58" s="16"/>
      <c r="R58" s="16"/>
    </row>
    <row r="59" spans="1:18">
      <c r="A59" s="16"/>
      <c r="B59" s="16"/>
      <c r="C59" s="16"/>
      <c r="D59" s="16"/>
      <c r="E59" s="16"/>
      <c r="F59" s="16"/>
      <c r="G59" s="16"/>
      <c r="H59" s="16"/>
      <c r="I59" s="16"/>
      <c r="J59" s="16"/>
      <c r="K59" s="16"/>
      <c r="L59" s="16"/>
      <c r="M59" s="16"/>
      <c r="N59" s="16"/>
      <c r="O59" s="16"/>
      <c r="P59" s="16"/>
      <c r="Q59" s="16"/>
      <c r="R59" s="16"/>
    </row>
    <row r="60" spans="1:18">
      <c r="A60" s="16"/>
      <c r="B60" s="16"/>
      <c r="C60" s="16"/>
      <c r="D60" s="16"/>
      <c r="E60" s="16"/>
      <c r="F60" s="16"/>
      <c r="G60" s="16"/>
      <c r="H60" s="16"/>
      <c r="I60" s="16"/>
      <c r="J60" s="16"/>
      <c r="K60" s="16"/>
      <c r="L60" s="16"/>
      <c r="M60" s="16"/>
      <c r="N60" s="16"/>
      <c r="O60" s="16"/>
      <c r="P60" s="16"/>
      <c r="Q60" s="16"/>
      <c r="R60" s="16"/>
    </row>
    <row r="61" spans="1:18">
      <c r="A61" s="16"/>
      <c r="B61" s="16"/>
      <c r="C61" s="16"/>
      <c r="D61" s="16"/>
      <c r="E61" s="16"/>
      <c r="F61" s="16"/>
      <c r="G61" s="16"/>
      <c r="H61" s="16"/>
      <c r="I61" s="16"/>
      <c r="J61" s="16"/>
      <c r="K61" s="16"/>
      <c r="L61" s="16"/>
      <c r="M61" s="16"/>
      <c r="N61" s="16"/>
      <c r="O61" s="16"/>
      <c r="P61" s="16"/>
      <c r="Q61" s="16"/>
      <c r="R61" s="16"/>
    </row>
    <row r="62" spans="1:18">
      <c r="A62" s="16"/>
      <c r="B62" s="16"/>
      <c r="C62" s="16"/>
      <c r="D62" s="16"/>
      <c r="E62" s="16"/>
      <c r="F62" s="16"/>
      <c r="G62" s="16"/>
      <c r="H62" s="16"/>
      <c r="I62" s="16"/>
      <c r="J62" s="16"/>
      <c r="K62" s="16"/>
      <c r="L62" s="16"/>
      <c r="M62" s="16"/>
      <c r="N62" s="16"/>
      <c r="O62" s="16"/>
      <c r="P62" s="16"/>
      <c r="Q62" s="16"/>
      <c r="R62" s="16"/>
    </row>
    <row r="63" spans="1:18">
      <c r="A63" s="16"/>
      <c r="B63" s="16"/>
      <c r="C63" s="16"/>
      <c r="D63" s="16"/>
      <c r="E63" s="16"/>
      <c r="F63" s="16"/>
      <c r="G63" s="16"/>
      <c r="H63" s="16"/>
      <c r="I63" s="16"/>
      <c r="J63" s="16"/>
      <c r="K63" s="16"/>
      <c r="L63" s="16"/>
      <c r="M63" s="16"/>
      <c r="N63" s="16"/>
      <c r="O63" s="16"/>
      <c r="P63" s="16"/>
      <c r="Q63" s="16"/>
      <c r="R63" s="16"/>
    </row>
    <row r="64" spans="1:18">
      <c r="A64" s="16"/>
      <c r="B64" s="16"/>
      <c r="C64" s="16"/>
      <c r="D64" s="16"/>
      <c r="E64" s="16"/>
      <c r="F64" s="16"/>
      <c r="G64" s="16"/>
      <c r="H64" s="16"/>
      <c r="I64" s="16"/>
      <c r="J64" s="16"/>
      <c r="K64" s="16"/>
      <c r="L64" s="16"/>
      <c r="M64" s="16"/>
      <c r="N64" s="16"/>
      <c r="O64" s="16"/>
      <c r="P64" s="16"/>
      <c r="Q64" s="16"/>
      <c r="R64" s="16"/>
    </row>
    <row r="65" spans="1:18">
      <c r="A65" s="16"/>
      <c r="B65" s="16"/>
      <c r="C65" s="16"/>
      <c r="D65" s="16"/>
      <c r="E65" s="16"/>
      <c r="F65" s="16"/>
      <c r="G65" s="16"/>
      <c r="H65" s="16"/>
      <c r="I65" s="16"/>
      <c r="J65" s="16"/>
      <c r="K65" s="16"/>
      <c r="L65" s="16"/>
      <c r="M65" s="16"/>
      <c r="N65" s="16"/>
      <c r="O65" s="16"/>
      <c r="P65" s="16"/>
      <c r="Q65" s="16"/>
      <c r="R65" s="16"/>
    </row>
    <row r="66" spans="1:18">
      <c r="A66" s="16"/>
      <c r="B66" s="16"/>
      <c r="C66" s="16"/>
      <c r="D66" s="16"/>
      <c r="E66" s="16"/>
      <c r="F66" s="16"/>
      <c r="G66" s="16"/>
      <c r="H66" s="16"/>
      <c r="I66" s="16"/>
      <c r="J66" s="16"/>
      <c r="K66" s="16"/>
      <c r="L66" s="16"/>
      <c r="M66" s="16"/>
      <c r="N66" s="16"/>
      <c r="O66" s="16"/>
      <c r="P66" s="16"/>
      <c r="Q66" s="16"/>
      <c r="R66" s="16"/>
    </row>
    <row r="67" spans="1:18">
      <c r="A67" s="16"/>
      <c r="B67" s="16"/>
      <c r="C67" s="16"/>
      <c r="D67" s="16"/>
      <c r="E67" s="16"/>
      <c r="F67" s="16"/>
      <c r="G67" s="16"/>
      <c r="H67" s="16"/>
      <c r="I67" s="16"/>
      <c r="J67" s="16"/>
      <c r="K67" s="16"/>
      <c r="L67" s="16"/>
      <c r="M67" s="16"/>
      <c r="N67" s="16"/>
      <c r="O67" s="16"/>
      <c r="P67" s="16"/>
      <c r="Q67" s="16"/>
      <c r="R67" s="16"/>
    </row>
    <row r="68" spans="1:18">
      <c r="A68" s="16"/>
      <c r="B68" s="16"/>
      <c r="C68" s="16"/>
      <c r="D68" s="16"/>
      <c r="E68" s="16"/>
      <c r="F68" s="16"/>
      <c r="G68" s="16"/>
      <c r="H68" s="16"/>
      <c r="I68" s="16"/>
      <c r="J68" s="16"/>
      <c r="K68" s="16"/>
      <c r="L68" s="16"/>
      <c r="M68" s="16"/>
      <c r="N68" s="16"/>
      <c r="O68" s="16"/>
      <c r="P68" s="16"/>
      <c r="Q68" s="16"/>
      <c r="R68" s="16"/>
    </row>
    <row r="69" spans="1:18">
      <c r="A69" s="16"/>
      <c r="B69" s="16"/>
      <c r="C69" s="16"/>
      <c r="D69" s="16"/>
      <c r="E69" s="16"/>
      <c r="F69" s="16"/>
      <c r="G69" s="16"/>
      <c r="H69" s="16"/>
      <c r="I69" s="16"/>
      <c r="J69" s="16"/>
      <c r="K69" s="16"/>
      <c r="L69" s="16"/>
      <c r="M69" s="16"/>
      <c r="N69" s="16"/>
      <c r="O69" s="16"/>
      <c r="P69" s="16"/>
      <c r="Q69" s="16"/>
      <c r="R69" s="16"/>
    </row>
    <row r="70" spans="1:18">
      <c r="A70" s="16"/>
      <c r="B70" s="16"/>
      <c r="C70" s="16"/>
      <c r="D70" s="16"/>
      <c r="E70" s="16"/>
      <c r="F70" s="16"/>
      <c r="G70" s="16"/>
      <c r="H70" s="16"/>
      <c r="I70" s="16"/>
      <c r="J70" s="16"/>
      <c r="K70" s="16"/>
      <c r="L70" s="16"/>
      <c r="M70" s="16"/>
      <c r="N70" s="16"/>
      <c r="O70" s="16"/>
      <c r="P70" s="16"/>
      <c r="Q70" s="16"/>
      <c r="R70" s="16"/>
    </row>
    <row r="71" spans="1:18">
      <c r="A71" s="16"/>
      <c r="B71" s="16"/>
      <c r="C71" s="16"/>
      <c r="D71" s="16"/>
      <c r="E71" s="16"/>
      <c r="F71" s="16"/>
      <c r="G71" s="16"/>
      <c r="H71" s="16"/>
      <c r="I71" s="16"/>
      <c r="J71" s="16"/>
      <c r="K71" s="16"/>
      <c r="L71" s="16"/>
      <c r="M71" s="16"/>
      <c r="N71" s="16"/>
      <c r="O71" s="16"/>
      <c r="P71" s="16"/>
      <c r="Q71" s="16"/>
      <c r="R71" s="16"/>
    </row>
    <row r="72" spans="1:18">
      <c r="A72" s="16"/>
      <c r="B72" s="16"/>
      <c r="C72" s="16"/>
      <c r="D72" s="16"/>
      <c r="E72" s="16"/>
      <c r="F72" s="16"/>
      <c r="G72" s="16"/>
      <c r="H72" s="16"/>
      <c r="I72" s="16"/>
      <c r="J72" s="16"/>
      <c r="K72" s="16"/>
      <c r="L72" s="16"/>
      <c r="M72" s="16"/>
      <c r="N72" s="16"/>
      <c r="O72" s="16"/>
      <c r="P72" s="16"/>
      <c r="Q72" s="16"/>
      <c r="R72" s="16"/>
    </row>
    <row r="73" spans="1:18">
      <c r="A73" s="16"/>
      <c r="B73" s="16"/>
      <c r="C73" s="16"/>
      <c r="D73" s="16"/>
      <c r="E73" s="16"/>
      <c r="F73" s="16"/>
      <c r="G73" s="16"/>
      <c r="H73" s="16"/>
      <c r="I73" s="16"/>
      <c r="J73" s="16"/>
      <c r="K73" s="16"/>
      <c r="L73" s="16"/>
      <c r="M73" s="16"/>
      <c r="N73" s="16"/>
      <c r="O73" s="16"/>
      <c r="P73" s="16"/>
      <c r="Q73" s="16"/>
      <c r="R73" s="16"/>
    </row>
    <row r="74" spans="1:18">
      <c r="A74" s="16"/>
      <c r="B74" s="16"/>
      <c r="C74" s="16"/>
      <c r="D74" s="16"/>
      <c r="E74" s="16"/>
      <c r="F74" s="16"/>
      <c r="G74" s="16"/>
      <c r="H74" s="16"/>
      <c r="I74" s="16"/>
      <c r="J74" s="16"/>
      <c r="K74" s="16"/>
      <c r="L74" s="16"/>
      <c r="M74" s="16"/>
      <c r="N74" s="16"/>
      <c r="O74" s="16"/>
      <c r="P74" s="16"/>
      <c r="Q74" s="16"/>
      <c r="R74" s="16"/>
    </row>
    <row r="75" spans="1:18">
      <c r="A75" s="16"/>
      <c r="B75" s="16"/>
      <c r="C75" s="16"/>
      <c r="D75" s="16"/>
      <c r="E75" s="16"/>
      <c r="F75" s="16"/>
      <c r="G75" s="16"/>
      <c r="H75" s="16"/>
      <c r="I75" s="16"/>
      <c r="J75" s="16"/>
      <c r="K75" s="16"/>
      <c r="L75" s="16"/>
      <c r="M75" s="16"/>
      <c r="N75" s="16"/>
      <c r="O75" s="16"/>
      <c r="P75" s="16"/>
      <c r="Q75" s="16"/>
      <c r="R75" s="16"/>
    </row>
    <row r="76" spans="1:18">
      <c r="A76" s="16"/>
      <c r="B76" s="16"/>
      <c r="C76" s="16"/>
      <c r="D76" s="16"/>
      <c r="E76" s="16"/>
      <c r="F76" s="16"/>
      <c r="G76" s="16"/>
      <c r="H76" s="16"/>
      <c r="I76" s="16"/>
      <c r="J76" s="16"/>
      <c r="K76" s="16"/>
      <c r="L76" s="16"/>
      <c r="M76" s="16"/>
      <c r="N76" s="16"/>
      <c r="O76" s="16"/>
      <c r="P76" s="16"/>
      <c r="Q76" s="16"/>
      <c r="R76" s="16"/>
    </row>
    <row r="77" spans="1:18">
      <c r="A77" s="16"/>
      <c r="B77" s="16"/>
      <c r="C77" s="16"/>
      <c r="D77" s="16"/>
      <c r="E77" s="16"/>
      <c r="F77" s="16"/>
      <c r="G77" s="16"/>
      <c r="H77" s="16"/>
      <c r="I77" s="16"/>
      <c r="J77" s="16"/>
      <c r="K77" s="16"/>
      <c r="L77" s="16"/>
      <c r="M77" s="16"/>
      <c r="N77" s="16"/>
      <c r="O77" s="16"/>
      <c r="P77" s="16"/>
      <c r="Q77" s="16"/>
      <c r="R77" s="16"/>
    </row>
    <row r="78" spans="1:18">
      <c r="A78" s="16"/>
      <c r="B78" s="16"/>
      <c r="C78" s="16"/>
      <c r="D78" s="16"/>
      <c r="E78" s="16"/>
      <c r="F78" s="16"/>
      <c r="G78" s="16"/>
      <c r="H78" s="16"/>
      <c r="I78" s="16"/>
      <c r="J78" s="16"/>
      <c r="K78" s="16"/>
      <c r="L78" s="16"/>
      <c r="M78" s="16"/>
      <c r="N78" s="16"/>
      <c r="O78" s="16"/>
      <c r="P78" s="16"/>
      <c r="Q78" s="16"/>
      <c r="R78" s="16"/>
    </row>
    <row r="79" spans="1:18">
      <c r="A79" s="16"/>
      <c r="B79" s="16"/>
      <c r="C79" s="16"/>
      <c r="D79" s="16"/>
      <c r="E79" s="16"/>
      <c r="F79" s="16"/>
      <c r="G79" s="16"/>
      <c r="H79" s="16"/>
      <c r="I79" s="16"/>
      <c r="J79" s="16"/>
      <c r="K79" s="16"/>
      <c r="L79" s="16"/>
      <c r="M79" s="16"/>
      <c r="N79" s="16"/>
      <c r="O79" s="16"/>
      <c r="P79" s="16"/>
      <c r="Q79" s="16"/>
      <c r="R79" s="16"/>
    </row>
    <row r="80" spans="1:18">
      <c r="A80" s="16"/>
      <c r="B80" s="16"/>
      <c r="C80" s="16"/>
      <c r="D80" s="16"/>
      <c r="E80" s="16"/>
      <c r="F80" s="16"/>
      <c r="G80" s="16"/>
      <c r="H80" s="16"/>
      <c r="I80" s="16"/>
      <c r="J80" s="16"/>
      <c r="K80" s="16"/>
      <c r="L80" s="16"/>
      <c r="M80" s="16"/>
      <c r="N80" s="16"/>
      <c r="O80" s="16"/>
      <c r="P80" s="16"/>
      <c r="Q80" s="16"/>
      <c r="R80" s="16"/>
    </row>
    <row r="81" spans="1:18">
      <c r="A81" s="16"/>
      <c r="B81" s="16"/>
      <c r="C81" s="16"/>
      <c r="D81" s="16"/>
      <c r="E81" s="16"/>
      <c r="F81" s="16"/>
      <c r="G81" s="16"/>
      <c r="H81" s="16"/>
      <c r="I81" s="16"/>
      <c r="J81" s="16"/>
      <c r="K81" s="16"/>
      <c r="L81" s="16"/>
      <c r="M81" s="16"/>
      <c r="N81" s="16"/>
      <c r="O81" s="16"/>
      <c r="P81" s="16"/>
      <c r="Q81" s="16"/>
      <c r="R81" s="16"/>
    </row>
    <row r="82" spans="1:18">
      <c r="A82" s="16"/>
      <c r="B82" s="16"/>
      <c r="C82" s="16"/>
      <c r="D82" s="16"/>
      <c r="E82" s="16"/>
      <c r="F82" s="16"/>
      <c r="G82" s="16"/>
      <c r="H82" s="16"/>
      <c r="I82" s="16"/>
      <c r="J82" s="16"/>
      <c r="K82" s="16"/>
      <c r="L82" s="16"/>
      <c r="M82" s="16"/>
      <c r="N82" s="16"/>
      <c r="O82" s="16"/>
      <c r="P82" s="16"/>
      <c r="Q82" s="16"/>
      <c r="R82" s="16"/>
    </row>
    <row r="83" spans="1:18">
      <c r="A83" s="16"/>
      <c r="B83" s="16"/>
      <c r="C83" s="16"/>
      <c r="D83" s="16"/>
      <c r="E83" s="16"/>
      <c r="F83" s="16"/>
      <c r="G83" s="16"/>
      <c r="H83" s="16"/>
      <c r="I83" s="16"/>
      <c r="J83" s="16"/>
      <c r="K83" s="16"/>
      <c r="L83" s="16"/>
      <c r="M83" s="16"/>
      <c r="N83" s="16"/>
      <c r="O83" s="16"/>
      <c r="P83" s="16"/>
      <c r="Q83" s="16"/>
      <c r="R83" s="16"/>
    </row>
    <row r="84" spans="1:18">
      <c r="A84" s="16"/>
      <c r="B84" s="16"/>
      <c r="C84" s="16"/>
      <c r="D84" s="16"/>
      <c r="E84" s="16"/>
      <c r="F84" s="16"/>
      <c r="G84" s="16"/>
      <c r="H84" s="16"/>
      <c r="I84" s="16"/>
      <c r="J84" s="16"/>
      <c r="K84" s="16"/>
      <c r="L84" s="16"/>
      <c r="M84" s="16"/>
      <c r="N84" s="16"/>
      <c r="O84" s="16"/>
      <c r="P84" s="16"/>
      <c r="Q84" s="16"/>
      <c r="R84" s="16"/>
    </row>
    <row r="85" spans="1:18">
      <c r="A85" s="16"/>
      <c r="B85" s="16"/>
      <c r="C85" s="16"/>
      <c r="D85" s="16"/>
      <c r="E85" s="16"/>
      <c r="F85" s="16"/>
      <c r="G85" s="16"/>
      <c r="H85" s="16"/>
      <c r="I85" s="16"/>
      <c r="J85" s="16"/>
      <c r="K85" s="16"/>
      <c r="L85" s="16"/>
      <c r="M85" s="16"/>
      <c r="N85" s="16"/>
      <c r="O85" s="16"/>
      <c r="P85" s="16"/>
      <c r="Q85" s="16"/>
      <c r="R85" s="16"/>
    </row>
    <row r="86" spans="1:18">
      <c r="A86" s="16"/>
      <c r="B86" s="16"/>
      <c r="C86" s="16"/>
      <c r="D86" s="16"/>
      <c r="E86" s="16"/>
      <c r="F86" s="16"/>
      <c r="G86" s="16"/>
      <c r="H86" s="16"/>
      <c r="I86" s="16"/>
      <c r="J86" s="16"/>
      <c r="K86" s="16"/>
      <c r="L86" s="16"/>
      <c r="M86" s="16"/>
      <c r="N86" s="16"/>
      <c r="O86" s="16"/>
      <c r="P86" s="16"/>
      <c r="Q86" s="16"/>
      <c r="R86" s="16"/>
    </row>
    <row r="87" spans="1:18">
      <c r="A87" s="16"/>
      <c r="B87" s="16"/>
      <c r="C87" s="16"/>
      <c r="D87" s="16"/>
      <c r="E87" s="16"/>
      <c r="F87" s="16"/>
      <c r="G87" s="16"/>
      <c r="H87" s="16"/>
      <c r="I87" s="16"/>
      <c r="J87" s="16"/>
      <c r="K87" s="16"/>
      <c r="L87" s="16"/>
      <c r="M87" s="16"/>
      <c r="N87" s="16"/>
      <c r="O87" s="16"/>
      <c r="P87" s="16"/>
      <c r="Q87" s="16"/>
      <c r="R87" s="16"/>
    </row>
    <row r="88" spans="1:18">
      <c r="A88" s="16"/>
      <c r="B88" s="16"/>
      <c r="C88" s="16"/>
      <c r="D88" s="16"/>
      <c r="E88" s="16"/>
      <c r="F88" s="16"/>
      <c r="G88" s="16"/>
      <c r="H88" s="16"/>
      <c r="I88" s="16"/>
      <c r="J88" s="16"/>
      <c r="K88" s="16"/>
      <c r="L88" s="16"/>
      <c r="M88" s="16"/>
      <c r="N88" s="16"/>
      <c r="O88" s="16"/>
      <c r="P88" s="16"/>
      <c r="Q88" s="16"/>
      <c r="R88" s="16"/>
    </row>
    <row r="89" spans="1:18">
      <c r="A89" s="16"/>
      <c r="B89" s="16"/>
      <c r="C89" s="16"/>
      <c r="D89" s="16"/>
      <c r="E89" s="16"/>
      <c r="F89" s="16"/>
      <c r="G89" s="16"/>
      <c r="H89" s="16"/>
      <c r="I89" s="16"/>
      <c r="J89" s="16"/>
      <c r="K89" s="16"/>
      <c r="L89" s="16"/>
      <c r="M89" s="16"/>
      <c r="N89" s="16"/>
      <c r="O89" s="16"/>
      <c r="P89" s="16"/>
      <c r="Q89" s="16"/>
      <c r="R89" s="16"/>
    </row>
    <row r="90" spans="1:18">
      <c r="A90" s="16"/>
      <c r="B90" s="16"/>
      <c r="C90" s="16"/>
      <c r="D90" s="16"/>
      <c r="E90" s="16"/>
      <c r="F90" s="16"/>
      <c r="G90" s="16"/>
      <c r="H90" s="16"/>
      <c r="I90" s="16"/>
      <c r="J90" s="16"/>
      <c r="K90" s="16"/>
      <c r="L90" s="16"/>
      <c r="M90" s="16"/>
      <c r="N90" s="16"/>
      <c r="O90" s="16"/>
      <c r="P90" s="16"/>
      <c r="Q90" s="16"/>
      <c r="R90" s="16"/>
    </row>
    <row r="91" spans="1:18">
      <c r="A91" s="16"/>
      <c r="B91" s="16"/>
      <c r="C91" s="16"/>
      <c r="D91" s="16"/>
      <c r="E91" s="16"/>
      <c r="F91" s="16"/>
      <c r="G91" s="16"/>
      <c r="H91" s="16"/>
      <c r="I91" s="16"/>
      <c r="J91" s="16"/>
      <c r="K91" s="16"/>
      <c r="L91" s="16"/>
      <c r="M91" s="16"/>
      <c r="N91" s="16"/>
      <c r="O91" s="16"/>
      <c r="P91" s="16"/>
      <c r="Q91" s="16"/>
      <c r="R91" s="16"/>
    </row>
    <row r="92" spans="1:18">
      <c r="A92" s="16"/>
      <c r="B92" s="16"/>
      <c r="C92" s="16"/>
      <c r="D92" s="16"/>
      <c r="E92" s="16"/>
      <c r="F92" s="16"/>
      <c r="G92" s="16"/>
      <c r="H92" s="16"/>
      <c r="I92" s="16"/>
      <c r="J92" s="16"/>
      <c r="K92" s="16"/>
      <c r="L92" s="16"/>
      <c r="M92" s="16"/>
      <c r="N92" s="16"/>
      <c r="O92" s="16"/>
      <c r="P92" s="16"/>
      <c r="Q92" s="16"/>
      <c r="R92" s="16"/>
    </row>
    <row r="93" spans="1:18">
      <c r="A93" s="16"/>
      <c r="B93" s="16"/>
      <c r="C93" s="16"/>
      <c r="D93" s="16"/>
      <c r="E93" s="16"/>
      <c r="F93" s="16"/>
      <c r="G93" s="16"/>
      <c r="H93" s="16"/>
      <c r="I93" s="16"/>
      <c r="J93" s="16"/>
      <c r="K93" s="16"/>
      <c r="L93" s="16"/>
      <c r="M93" s="16"/>
      <c r="N93" s="16"/>
      <c r="O93" s="16"/>
      <c r="P93" s="16"/>
      <c r="Q93" s="16"/>
      <c r="R93" s="16"/>
    </row>
    <row r="94" spans="1:18">
      <c r="A94" s="16"/>
      <c r="B94" s="16"/>
      <c r="C94" s="16"/>
      <c r="D94" s="16"/>
      <c r="E94" s="16"/>
      <c r="F94" s="16"/>
      <c r="G94" s="16"/>
      <c r="H94" s="16"/>
      <c r="I94" s="16"/>
      <c r="J94" s="16"/>
      <c r="K94" s="16"/>
      <c r="L94" s="16"/>
      <c r="M94" s="16"/>
      <c r="N94" s="16"/>
      <c r="O94" s="16"/>
      <c r="P94" s="16"/>
      <c r="Q94" s="16"/>
      <c r="R94" s="16"/>
    </row>
    <row r="95" spans="1:18">
      <c r="A95" s="16"/>
      <c r="B95" s="16"/>
      <c r="C95" s="16"/>
      <c r="D95" s="16"/>
      <c r="E95" s="16"/>
      <c r="F95" s="16"/>
      <c r="G95" s="16"/>
      <c r="H95" s="16"/>
      <c r="I95" s="16"/>
      <c r="J95" s="16"/>
      <c r="K95" s="16"/>
      <c r="L95" s="16"/>
      <c r="M95" s="16"/>
      <c r="N95" s="16"/>
      <c r="O95" s="16"/>
      <c r="P95" s="16"/>
      <c r="Q95" s="16"/>
      <c r="R95" s="16"/>
    </row>
    <row r="96" spans="1:18">
      <c r="A96" s="16"/>
      <c r="B96" s="16"/>
      <c r="C96" s="16"/>
      <c r="D96" s="16"/>
      <c r="E96" s="16"/>
      <c r="F96" s="16"/>
      <c r="G96" s="16"/>
      <c r="H96" s="16"/>
      <c r="I96" s="16"/>
      <c r="J96" s="16"/>
      <c r="K96" s="16"/>
      <c r="L96" s="16"/>
      <c r="M96" s="16"/>
      <c r="N96" s="16"/>
      <c r="O96" s="16"/>
      <c r="P96" s="16"/>
      <c r="Q96" s="16"/>
      <c r="R96" s="16"/>
    </row>
    <row r="97" spans="1:18">
      <c r="A97" s="16"/>
      <c r="B97" s="16"/>
      <c r="C97" s="16"/>
      <c r="D97" s="16"/>
      <c r="E97" s="16"/>
      <c r="F97" s="16"/>
      <c r="G97" s="16"/>
      <c r="H97" s="16"/>
      <c r="I97" s="16"/>
      <c r="J97" s="16"/>
      <c r="K97" s="16"/>
      <c r="L97" s="16"/>
      <c r="M97" s="16"/>
      <c r="N97" s="16"/>
      <c r="O97" s="16"/>
      <c r="P97" s="16"/>
      <c r="Q97" s="16"/>
      <c r="R97" s="16"/>
    </row>
    <row r="98" spans="1:18">
      <c r="A98" s="16"/>
      <c r="B98" s="16"/>
      <c r="C98" s="16"/>
      <c r="D98" s="16"/>
      <c r="E98" s="16"/>
      <c r="F98" s="16"/>
      <c r="G98" s="16"/>
      <c r="H98" s="16"/>
      <c r="I98" s="16"/>
      <c r="J98" s="16"/>
      <c r="K98" s="16"/>
      <c r="L98" s="16"/>
      <c r="M98" s="16"/>
      <c r="N98" s="16"/>
      <c r="O98" s="16"/>
      <c r="P98" s="16"/>
      <c r="Q98" s="16"/>
      <c r="R98" s="16"/>
    </row>
    <row r="99" spans="1:18">
      <c r="A99" s="16"/>
      <c r="B99" s="16"/>
      <c r="C99" s="16"/>
      <c r="D99" s="16"/>
      <c r="E99" s="16"/>
      <c r="F99" s="16"/>
      <c r="G99" s="16"/>
      <c r="H99" s="16"/>
      <c r="I99" s="16"/>
      <c r="J99" s="16"/>
      <c r="K99" s="16"/>
      <c r="L99" s="16"/>
      <c r="M99" s="16"/>
      <c r="N99" s="16"/>
      <c r="O99" s="16"/>
      <c r="P99" s="16"/>
      <c r="Q99" s="16"/>
      <c r="R99" s="16"/>
    </row>
    <row r="100" spans="1:18">
      <c r="A100" s="16"/>
      <c r="B100" s="16"/>
      <c r="C100" s="16"/>
      <c r="D100" s="16"/>
      <c r="E100" s="16"/>
      <c r="F100" s="16"/>
      <c r="G100" s="16"/>
      <c r="H100" s="16"/>
      <c r="I100" s="16"/>
      <c r="J100" s="16"/>
      <c r="K100" s="16"/>
      <c r="L100" s="16"/>
      <c r="M100" s="16"/>
      <c r="N100" s="16"/>
      <c r="O100" s="16"/>
      <c r="P100" s="16"/>
      <c r="Q100" s="16"/>
      <c r="R100" s="16"/>
    </row>
    <row r="101" spans="1:18">
      <c r="A101" s="16"/>
      <c r="B101" s="16"/>
      <c r="C101" s="16"/>
      <c r="D101" s="16"/>
      <c r="E101" s="16"/>
      <c r="F101" s="16"/>
      <c r="G101" s="16"/>
      <c r="H101" s="16"/>
      <c r="I101" s="16"/>
      <c r="J101" s="16"/>
      <c r="K101" s="16"/>
      <c r="L101" s="16"/>
      <c r="M101" s="16"/>
      <c r="N101" s="16"/>
      <c r="O101" s="16"/>
      <c r="P101" s="16"/>
      <c r="Q101" s="16"/>
      <c r="R101" s="16"/>
    </row>
    <row r="102" spans="1:18">
      <c r="B102" s="16"/>
      <c r="C102" s="16"/>
      <c r="D102" s="16"/>
      <c r="E102" s="16"/>
      <c r="F102" s="16"/>
      <c r="G102" s="16"/>
      <c r="H102" s="16"/>
      <c r="I102" s="16"/>
      <c r="J102" s="16"/>
      <c r="K102" s="16"/>
      <c r="L102" s="16"/>
      <c r="M102" s="16"/>
      <c r="N102" s="16"/>
      <c r="O102" s="16"/>
      <c r="P102" s="16"/>
      <c r="Q102" s="16"/>
      <c r="R102" s="16"/>
    </row>
  </sheetData>
  <phoneticPr fontId="8"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2"/>
  <sheetViews>
    <sheetView zoomScale="85" zoomScaleNormal="85" workbookViewId="0">
      <selection activeCell="A5" sqref="A5"/>
    </sheetView>
  </sheetViews>
  <sheetFormatPr baseColWidth="10" defaultRowHeight="14.25"/>
  <sheetData>
    <row r="1" spans="1:18" ht="15">
      <c r="A1" s="15"/>
      <c r="B1" s="15"/>
      <c r="C1" s="15"/>
      <c r="D1" s="15"/>
      <c r="E1" s="15"/>
      <c r="F1" s="15"/>
      <c r="G1" s="15"/>
      <c r="H1" s="15"/>
      <c r="I1" s="15"/>
      <c r="J1" s="15"/>
      <c r="K1" s="15"/>
      <c r="L1" s="15"/>
      <c r="M1" s="15"/>
      <c r="N1" s="15"/>
      <c r="O1" s="15"/>
      <c r="P1" s="15"/>
      <c r="Q1" s="15"/>
      <c r="R1" s="15"/>
    </row>
    <row r="2" spans="1:18" ht="43.15" customHeight="1">
      <c r="A2" s="16"/>
      <c r="B2" s="85"/>
      <c r="C2" s="85"/>
      <c r="D2" s="15"/>
      <c r="E2" s="15"/>
      <c r="F2" s="15"/>
      <c r="G2" s="15"/>
      <c r="H2" s="15"/>
      <c r="I2" s="15"/>
      <c r="J2" s="15"/>
      <c r="K2" s="15"/>
      <c r="L2" s="15"/>
      <c r="M2" s="15"/>
      <c r="N2" s="15"/>
      <c r="O2" s="15"/>
      <c r="P2" s="15"/>
      <c r="Q2" s="15"/>
      <c r="R2" s="15"/>
    </row>
    <row r="3" spans="1:18" ht="78" customHeight="1">
      <c r="A3" s="16"/>
      <c r="B3" s="16" t="s">
        <v>5</v>
      </c>
      <c r="C3" s="2" t="s">
        <v>50</v>
      </c>
      <c r="D3" s="2" t="s">
        <v>51</v>
      </c>
      <c r="E3" s="2" t="s">
        <v>52</v>
      </c>
      <c r="F3" s="2" t="s">
        <v>98</v>
      </c>
      <c r="G3" s="2" t="s">
        <v>9</v>
      </c>
      <c r="I3" s="16"/>
      <c r="J3" s="16"/>
      <c r="K3" s="16"/>
      <c r="L3" s="16"/>
      <c r="M3" s="16"/>
      <c r="N3" s="16"/>
      <c r="O3" s="16"/>
      <c r="P3" s="16"/>
      <c r="Q3" s="16"/>
      <c r="R3" s="16"/>
    </row>
    <row r="4" spans="1:18" ht="90">
      <c r="A4" s="19" t="s">
        <v>18</v>
      </c>
      <c r="B4" s="2">
        <f>+'Analyse resultats'!T93</f>
        <v>5</v>
      </c>
      <c r="C4" s="2">
        <f>+'Analyse resultats'!AL93</f>
        <v>21</v>
      </c>
      <c r="D4" s="2">
        <f>+'Analyse resultats'!BD93</f>
        <v>10</v>
      </c>
      <c r="E4" s="2">
        <f>+'Analyse resultats'!BV93</f>
        <v>8</v>
      </c>
      <c r="F4" s="2">
        <f>+'Analyse resultats'!CN93</f>
        <v>23</v>
      </c>
      <c r="G4" s="2">
        <f>+'Analyse resultats'!DF93</f>
        <v>21</v>
      </c>
      <c r="H4" s="16"/>
      <c r="I4" s="16"/>
      <c r="J4" s="16"/>
      <c r="K4" s="16"/>
      <c r="L4" s="16"/>
      <c r="M4" s="16"/>
      <c r="N4" s="16"/>
      <c r="O4" s="16"/>
      <c r="P4" s="16"/>
      <c r="Q4" s="16"/>
      <c r="R4" s="16"/>
    </row>
    <row r="5" spans="1:18" ht="75">
      <c r="A5" s="20" t="s">
        <v>19</v>
      </c>
      <c r="B5" s="27">
        <f>+'Analyse resultats'!U93</f>
        <v>5</v>
      </c>
      <c r="C5" s="27">
        <f>+'Analyse resultats'!AM93</f>
        <v>20</v>
      </c>
      <c r="D5" s="27">
        <f>+'Analyse resultats'!BE93</f>
        <v>10</v>
      </c>
      <c r="E5" s="27">
        <f>+'Analyse resultats'!BW93</f>
        <v>5</v>
      </c>
      <c r="F5" s="2">
        <f>+'Analyse resultats'!CO93</f>
        <v>23</v>
      </c>
      <c r="G5" s="27">
        <f>+'Analyse resultats'!DG93</f>
        <v>21</v>
      </c>
      <c r="H5" s="16"/>
      <c r="I5" s="16"/>
      <c r="J5" s="16"/>
      <c r="K5" s="16"/>
      <c r="L5" s="16"/>
      <c r="M5" s="16"/>
      <c r="N5" s="16"/>
      <c r="O5" s="16"/>
      <c r="P5" s="16"/>
      <c r="Q5" s="16"/>
      <c r="R5" s="16"/>
    </row>
    <row r="6" spans="1:18">
      <c r="A6" s="16"/>
      <c r="B6" s="27"/>
      <c r="C6" s="27"/>
      <c r="D6" s="27"/>
      <c r="E6" s="27"/>
      <c r="F6" s="27"/>
      <c r="G6" s="27"/>
      <c r="H6" s="16"/>
      <c r="I6" s="16"/>
      <c r="J6" s="16"/>
      <c r="K6" s="16"/>
      <c r="L6" s="16"/>
      <c r="M6" s="16"/>
      <c r="N6" s="16"/>
      <c r="O6" s="16"/>
      <c r="P6" s="16"/>
      <c r="Q6" s="16"/>
      <c r="R6" s="16"/>
    </row>
    <row r="7" spans="1:18">
      <c r="A7" s="16"/>
      <c r="B7" s="27"/>
      <c r="C7" s="27"/>
      <c r="D7" s="27"/>
      <c r="E7" s="27"/>
      <c r="F7" s="27"/>
      <c r="G7" s="27"/>
      <c r="H7" s="16"/>
      <c r="I7" s="16"/>
      <c r="J7" s="16"/>
      <c r="K7" s="16"/>
      <c r="L7" s="16"/>
      <c r="M7" s="16"/>
      <c r="N7" s="16"/>
      <c r="O7" s="16"/>
      <c r="P7" s="16"/>
      <c r="Q7" s="16"/>
      <c r="R7" s="16"/>
    </row>
    <row r="8" spans="1:18">
      <c r="A8" s="16"/>
      <c r="B8" s="27"/>
      <c r="C8" s="27"/>
      <c r="D8" s="27"/>
      <c r="E8" s="27"/>
      <c r="F8" s="27"/>
      <c r="G8" s="27"/>
      <c r="H8" s="16"/>
      <c r="I8" s="16"/>
      <c r="J8" s="16"/>
      <c r="K8" s="16"/>
      <c r="L8" s="16"/>
      <c r="M8" s="16"/>
      <c r="N8" s="16"/>
      <c r="O8" s="16"/>
      <c r="P8" s="16"/>
      <c r="Q8" s="16"/>
      <c r="R8" s="16"/>
    </row>
    <row r="9" spans="1:18">
      <c r="A9" s="16"/>
      <c r="B9" s="27"/>
      <c r="C9" s="27"/>
      <c r="D9" s="27"/>
      <c r="E9" s="27"/>
      <c r="F9" s="27"/>
      <c r="G9" s="27"/>
      <c r="H9" s="16"/>
      <c r="I9" s="16"/>
      <c r="J9" s="16"/>
      <c r="K9" s="16"/>
      <c r="L9" s="16"/>
      <c r="M9" s="16"/>
      <c r="N9" s="16"/>
      <c r="O9" s="16"/>
      <c r="P9" s="16"/>
      <c r="Q9" s="16"/>
      <c r="R9" s="16"/>
    </row>
    <row r="10" spans="1:18">
      <c r="A10" s="16"/>
      <c r="B10" s="27"/>
      <c r="C10" s="27"/>
      <c r="D10" s="27"/>
      <c r="E10" s="27"/>
      <c r="F10" s="27"/>
      <c r="G10" s="27"/>
      <c r="H10" s="16"/>
      <c r="I10" s="16"/>
      <c r="J10" s="16"/>
      <c r="K10" s="16"/>
      <c r="L10" s="16"/>
      <c r="M10" s="16"/>
      <c r="N10" s="16"/>
      <c r="O10" s="16"/>
      <c r="P10" s="16"/>
      <c r="Q10" s="16"/>
      <c r="R10" s="16"/>
    </row>
    <row r="11" spans="1:18">
      <c r="A11" s="16"/>
      <c r="B11" s="16"/>
      <c r="C11" s="16"/>
      <c r="D11" s="16"/>
      <c r="E11" s="16"/>
      <c r="F11" s="16"/>
      <c r="G11" s="16"/>
      <c r="H11" s="16"/>
      <c r="I11" s="16"/>
      <c r="J11" s="16"/>
      <c r="K11" s="16"/>
      <c r="L11" s="16"/>
      <c r="M11" s="16"/>
      <c r="N11" s="16"/>
      <c r="O11" s="16"/>
      <c r="P11" s="16"/>
      <c r="Q11" s="16"/>
      <c r="R11" s="16"/>
    </row>
    <row r="12" spans="1:18">
      <c r="A12" s="16"/>
      <c r="B12" s="16"/>
      <c r="C12" s="16"/>
      <c r="D12" s="16"/>
      <c r="E12" s="16"/>
      <c r="F12" s="16"/>
      <c r="G12" s="16"/>
      <c r="H12" s="16"/>
      <c r="I12" s="16"/>
      <c r="J12" s="16"/>
      <c r="K12" s="16"/>
      <c r="L12" s="16"/>
      <c r="M12" s="16"/>
      <c r="N12" s="16"/>
      <c r="O12" s="16"/>
      <c r="P12" s="16"/>
      <c r="Q12" s="16"/>
      <c r="R12" s="16"/>
    </row>
    <row r="13" spans="1:18">
      <c r="A13" s="16"/>
      <c r="B13" s="16"/>
      <c r="C13" s="16"/>
      <c r="D13" s="16"/>
      <c r="E13" s="16"/>
      <c r="F13" s="16"/>
      <c r="G13" s="16"/>
      <c r="H13" s="16"/>
      <c r="I13" s="16"/>
      <c r="J13" s="16"/>
      <c r="K13" s="16"/>
      <c r="L13" s="16"/>
      <c r="M13" s="16"/>
      <c r="N13" s="16"/>
      <c r="O13" s="16"/>
      <c r="P13" s="16"/>
      <c r="Q13" s="16"/>
      <c r="R13" s="16"/>
    </row>
    <row r="14" spans="1:18">
      <c r="A14" s="16"/>
      <c r="B14" s="16"/>
      <c r="C14" s="16"/>
      <c r="D14" s="16"/>
      <c r="E14" s="16"/>
      <c r="F14" s="16"/>
      <c r="G14" s="16"/>
      <c r="H14" s="16"/>
      <c r="I14" s="16"/>
      <c r="J14" s="16"/>
      <c r="K14" s="16"/>
      <c r="L14" s="16"/>
      <c r="M14" s="16"/>
      <c r="N14" s="16"/>
      <c r="O14" s="16"/>
      <c r="P14" s="16"/>
      <c r="Q14" s="16"/>
      <c r="R14" s="16"/>
    </row>
    <row r="15" spans="1:18">
      <c r="A15" s="16"/>
      <c r="B15" s="16"/>
      <c r="C15" s="16"/>
      <c r="D15" s="16"/>
      <c r="E15" s="16"/>
      <c r="F15" s="16"/>
      <c r="G15" s="16"/>
      <c r="H15" s="16"/>
      <c r="I15" s="16"/>
      <c r="J15" s="16"/>
      <c r="K15" s="16"/>
      <c r="L15" s="16"/>
      <c r="M15" s="16"/>
      <c r="N15" s="16"/>
      <c r="O15" s="16"/>
      <c r="P15" s="16"/>
      <c r="Q15" s="16"/>
      <c r="R15" s="16"/>
    </row>
    <row r="16" spans="1:18">
      <c r="A16" s="16"/>
      <c r="B16" s="16"/>
      <c r="C16" s="16"/>
      <c r="D16" s="16"/>
      <c r="E16" s="16"/>
      <c r="F16" s="16"/>
      <c r="G16" s="16"/>
      <c r="H16" s="16"/>
      <c r="I16" s="16"/>
      <c r="J16" s="16"/>
      <c r="K16" s="16"/>
      <c r="L16" s="16"/>
      <c r="M16" s="16"/>
      <c r="N16" s="16"/>
      <c r="O16" s="16"/>
      <c r="P16" s="16"/>
      <c r="Q16" s="16"/>
      <c r="R16" s="16"/>
    </row>
    <row r="17" spans="1:18">
      <c r="A17" s="16"/>
      <c r="B17" s="16"/>
      <c r="C17" s="16"/>
      <c r="D17" s="16"/>
      <c r="E17" s="16"/>
      <c r="F17" s="16"/>
      <c r="G17" s="16"/>
      <c r="H17" s="16"/>
      <c r="I17" s="16"/>
      <c r="J17" s="16"/>
      <c r="K17" s="16"/>
      <c r="L17" s="16"/>
      <c r="M17" s="16"/>
      <c r="N17" s="16"/>
      <c r="O17" s="16"/>
      <c r="P17" s="16"/>
      <c r="Q17" s="16"/>
      <c r="R17" s="16"/>
    </row>
    <row r="18" spans="1:18">
      <c r="A18" s="16"/>
      <c r="B18" s="16"/>
      <c r="C18" s="16"/>
      <c r="D18" s="16"/>
      <c r="E18" s="16"/>
      <c r="F18" s="16"/>
      <c r="G18" s="16"/>
      <c r="H18" s="16"/>
      <c r="I18" s="16"/>
      <c r="J18" s="16"/>
      <c r="K18" s="16"/>
      <c r="L18" s="16"/>
      <c r="M18" s="16"/>
      <c r="N18" s="16"/>
      <c r="O18" s="16"/>
      <c r="P18" s="16"/>
      <c r="Q18" s="16"/>
      <c r="R18" s="16"/>
    </row>
    <row r="19" spans="1:18">
      <c r="A19" s="16"/>
      <c r="B19" s="16"/>
      <c r="C19" s="16"/>
      <c r="D19" s="16"/>
      <c r="E19" s="16"/>
      <c r="F19" s="16"/>
      <c r="G19" s="16"/>
      <c r="H19" s="16"/>
      <c r="I19" s="16"/>
      <c r="J19" s="16"/>
      <c r="K19" s="16"/>
      <c r="L19" s="16"/>
      <c r="M19" s="16"/>
      <c r="N19" s="16"/>
      <c r="O19" s="16"/>
      <c r="P19" s="16"/>
      <c r="Q19" s="16"/>
      <c r="R19" s="16"/>
    </row>
    <row r="20" spans="1:18">
      <c r="A20" s="16"/>
      <c r="B20" s="16"/>
      <c r="C20" s="16"/>
      <c r="D20" s="16"/>
      <c r="E20" s="16"/>
      <c r="F20" s="16"/>
      <c r="G20" s="16"/>
      <c r="H20" s="16"/>
      <c r="I20" s="16"/>
      <c r="J20" s="16"/>
      <c r="K20" s="16"/>
      <c r="L20" s="16"/>
      <c r="M20" s="16"/>
      <c r="N20" s="16"/>
      <c r="O20" s="16"/>
      <c r="P20" s="16"/>
      <c r="Q20" s="16"/>
      <c r="R20" s="16"/>
    </row>
    <row r="21" spans="1:18">
      <c r="A21" s="16"/>
      <c r="B21" s="16"/>
      <c r="C21" s="16"/>
      <c r="D21" s="16"/>
      <c r="E21" s="16"/>
      <c r="F21" s="16"/>
      <c r="G21" s="16"/>
      <c r="H21" s="16"/>
      <c r="I21" s="16"/>
      <c r="J21" s="16"/>
      <c r="K21" s="16"/>
      <c r="L21" s="16"/>
      <c r="M21" s="16"/>
      <c r="N21" s="16"/>
      <c r="O21" s="16"/>
      <c r="P21" s="16"/>
      <c r="Q21" s="16"/>
      <c r="R21" s="16"/>
    </row>
    <row r="22" spans="1:18">
      <c r="A22" s="16"/>
      <c r="B22" s="16"/>
      <c r="C22" s="16"/>
      <c r="D22" s="16"/>
      <c r="E22" s="16"/>
      <c r="F22" s="16"/>
      <c r="G22" s="16"/>
      <c r="H22" s="16"/>
      <c r="I22" s="16"/>
      <c r="J22" s="16"/>
      <c r="K22" s="16"/>
      <c r="L22" s="16"/>
      <c r="M22" s="16"/>
      <c r="N22" s="16"/>
      <c r="O22" s="16"/>
      <c r="P22" s="16"/>
      <c r="Q22" s="16"/>
      <c r="R22" s="16"/>
    </row>
    <row r="23" spans="1:18">
      <c r="A23" s="16"/>
      <c r="B23" s="16"/>
      <c r="C23" s="16"/>
      <c r="D23" s="16"/>
      <c r="E23" s="16"/>
      <c r="F23" s="16"/>
      <c r="G23" s="16"/>
      <c r="H23" s="16"/>
      <c r="I23" s="16"/>
      <c r="J23" s="16"/>
      <c r="K23" s="16"/>
      <c r="L23" s="16"/>
      <c r="M23" s="16"/>
      <c r="N23" s="16"/>
      <c r="O23" s="16"/>
      <c r="P23" s="16"/>
      <c r="Q23" s="16"/>
      <c r="R23" s="16"/>
    </row>
    <row r="24" spans="1:18">
      <c r="A24" s="16"/>
      <c r="B24" s="16"/>
      <c r="C24" s="16"/>
      <c r="D24" s="16"/>
      <c r="E24" s="16"/>
      <c r="F24" s="16"/>
      <c r="G24" s="16"/>
      <c r="H24" s="16"/>
      <c r="I24" s="16"/>
      <c r="J24" s="16"/>
      <c r="K24" s="16"/>
      <c r="L24" s="16"/>
      <c r="M24" s="16"/>
      <c r="N24" s="16"/>
      <c r="O24" s="16"/>
      <c r="P24" s="16"/>
      <c r="Q24" s="16"/>
      <c r="R24" s="16"/>
    </row>
    <row r="25" spans="1:18">
      <c r="A25" s="16"/>
      <c r="B25" s="16"/>
      <c r="C25" s="16"/>
      <c r="D25" s="16"/>
      <c r="E25" s="16"/>
      <c r="F25" s="16"/>
      <c r="G25" s="16"/>
      <c r="H25" s="16"/>
      <c r="I25" s="16"/>
      <c r="J25" s="16"/>
      <c r="K25" s="16"/>
      <c r="L25" s="16"/>
      <c r="M25" s="16"/>
      <c r="N25" s="16"/>
      <c r="O25" s="16"/>
      <c r="P25" s="16"/>
      <c r="Q25" s="16"/>
      <c r="R25" s="16"/>
    </row>
    <row r="26" spans="1:18">
      <c r="A26" s="16"/>
      <c r="B26" s="16"/>
      <c r="C26" s="16"/>
      <c r="D26" s="16"/>
      <c r="E26" s="16"/>
      <c r="F26" s="16"/>
      <c r="G26" s="16"/>
      <c r="H26" s="16"/>
      <c r="I26" s="16"/>
      <c r="J26" s="16"/>
      <c r="K26" s="16"/>
      <c r="L26" s="16"/>
      <c r="M26" s="16"/>
      <c r="N26" s="16"/>
      <c r="O26" s="16"/>
      <c r="P26" s="16"/>
      <c r="Q26" s="16"/>
      <c r="R26" s="16"/>
    </row>
    <row r="27" spans="1:18">
      <c r="A27" s="16"/>
      <c r="B27" s="16"/>
      <c r="C27" s="16"/>
      <c r="D27" s="16"/>
      <c r="E27" s="16"/>
      <c r="F27" s="16"/>
      <c r="G27" s="16"/>
      <c r="H27" s="16"/>
      <c r="I27" s="16"/>
      <c r="J27" s="16"/>
      <c r="K27" s="16"/>
      <c r="L27" s="16"/>
      <c r="M27" s="16"/>
      <c r="N27" s="16"/>
      <c r="O27" s="16"/>
      <c r="P27" s="16"/>
      <c r="Q27" s="16"/>
      <c r="R27" s="16"/>
    </row>
    <row r="28" spans="1:18">
      <c r="A28" s="16"/>
      <c r="B28" s="16"/>
      <c r="C28" s="16"/>
      <c r="D28" s="16"/>
      <c r="E28" s="16"/>
      <c r="F28" s="16"/>
      <c r="G28" s="16"/>
      <c r="H28" s="16"/>
      <c r="I28" s="16"/>
      <c r="J28" s="16"/>
      <c r="K28" s="16"/>
      <c r="L28" s="16"/>
      <c r="M28" s="16"/>
      <c r="N28" s="16"/>
      <c r="O28" s="16"/>
      <c r="P28" s="16"/>
      <c r="Q28" s="16"/>
      <c r="R28" s="16"/>
    </row>
    <row r="29" spans="1:18">
      <c r="A29" s="16"/>
      <c r="B29" s="16"/>
      <c r="C29" s="16"/>
      <c r="D29" s="16"/>
      <c r="E29" s="16"/>
      <c r="F29" s="16"/>
      <c r="G29" s="16"/>
      <c r="H29" s="16"/>
      <c r="I29" s="16"/>
      <c r="J29" s="16"/>
      <c r="K29" s="16"/>
      <c r="L29" s="16"/>
      <c r="M29" s="16"/>
      <c r="N29" s="16"/>
      <c r="O29" s="16"/>
      <c r="P29" s="16"/>
      <c r="Q29" s="16"/>
      <c r="R29" s="16"/>
    </row>
    <row r="30" spans="1:18">
      <c r="A30" s="16"/>
      <c r="B30" s="16"/>
      <c r="C30" s="16"/>
      <c r="D30" s="16"/>
      <c r="E30" s="16"/>
      <c r="F30" s="16"/>
      <c r="G30" s="16"/>
      <c r="H30" s="16"/>
      <c r="I30" s="16"/>
      <c r="J30" s="16"/>
      <c r="K30" s="16"/>
      <c r="L30" s="16"/>
      <c r="M30" s="16"/>
      <c r="N30" s="16"/>
      <c r="O30" s="16"/>
      <c r="P30" s="16"/>
      <c r="Q30" s="16"/>
      <c r="R30" s="16"/>
    </row>
    <row r="31" spans="1:18">
      <c r="A31" s="16"/>
      <c r="B31" s="16"/>
      <c r="C31" s="16"/>
      <c r="D31" s="16"/>
      <c r="E31" s="16"/>
      <c r="F31" s="16"/>
      <c r="G31" s="16"/>
      <c r="H31" s="16"/>
      <c r="I31" s="16"/>
      <c r="J31" s="16"/>
      <c r="K31" s="16"/>
      <c r="L31" s="16"/>
      <c r="M31" s="16"/>
      <c r="N31" s="16"/>
      <c r="O31" s="16"/>
      <c r="P31" s="16"/>
      <c r="Q31" s="16"/>
      <c r="R31" s="16"/>
    </row>
    <row r="32" spans="1:18">
      <c r="A32" s="16"/>
      <c r="B32" s="16"/>
      <c r="C32" s="16"/>
      <c r="D32" s="16"/>
      <c r="E32" s="16"/>
      <c r="F32" s="16"/>
      <c r="G32" s="16"/>
      <c r="H32" s="16"/>
      <c r="I32" s="16"/>
      <c r="J32" s="16"/>
      <c r="K32" s="16"/>
      <c r="L32" s="16"/>
      <c r="M32" s="16"/>
      <c r="N32" s="16"/>
      <c r="O32" s="16"/>
      <c r="P32" s="16"/>
      <c r="Q32" s="16"/>
      <c r="R32" s="16"/>
    </row>
    <row r="33" spans="1:18">
      <c r="A33" s="16"/>
      <c r="B33" s="16"/>
      <c r="C33" s="16"/>
      <c r="D33" s="16"/>
      <c r="E33" s="16"/>
      <c r="F33" s="16"/>
      <c r="G33" s="16"/>
      <c r="H33" s="16"/>
      <c r="I33" s="16"/>
      <c r="J33" s="16"/>
      <c r="K33" s="16"/>
      <c r="L33" s="16"/>
      <c r="M33" s="16"/>
      <c r="N33" s="16"/>
      <c r="O33" s="16"/>
      <c r="P33" s="16"/>
      <c r="Q33" s="16"/>
      <c r="R33" s="16"/>
    </row>
    <row r="34" spans="1:18">
      <c r="A34" s="16"/>
      <c r="B34" s="16"/>
      <c r="C34" s="16"/>
      <c r="D34" s="16"/>
      <c r="E34" s="16"/>
      <c r="F34" s="16"/>
      <c r="G34" s="16"/>
      <c r="H34" s="16"/>
      <c r="I34" s="16"/>
      <c r="J34" s="16"/>
      <c r="K34" s="16"/>
      <c r="L34" s="16"/>
      <c r="M34" s="16"/>
      <c r="N34" s="16"/>
      <c r="O34" s="16"/>
      <c r="P34" s="16"/>
      <c r="Q34" s="16"/>
      <c r="R34" s="16"/>
    </row>
    <row r="35" spans="1:18">
      <c r="A35" s="16"/>
      <c r="B35" s="16"/>
      <c r="C35" s="16"/>
      <c r="D35" s="16"/>
      <c r="E35" s="16"/>
      <c r="F35" s="16"/>
      <c r="G35" s="16"/>
      <c r="H35" s="16"/>
      <c r="I35" s="16"/>
      <c r="J35" s="16"/>
      <c r="K35" s="16"/>
      <c r="L35" s="16"/>
      <c r="M35" s="16"/>
      <c r="N35" s="16"/>
      <c r="O35" s="16"/>
      <c r="P35" s="16"/>
      <c r="Q35" s="16"/>
      <c r="R35" s="16"/>
    </row>
    <row r="36" spans="1:18">
      <c r="A36" s="16"/>
      <c r="B36" s="16"/>
      <c r="C36" s="16"/>
      <c r="D36" s="16"/>
      <c r="E36" s="16"/>
      <c r="F36" s="16"/>
      <c r="G36" s="16"/>
      <c r="H36" s="16"/>
      <c r="I36" s="16"/>
      <c r="J36" s="16"/>
      <c r="K36" s="16"/>
      <c r="L36" s="16"/>
      <c r="M36" s="16"/>
      <c r="N36" s="16"/>
      <c r="O36" s="16"/>
      <c r="P36" s="16"/>
      <c r="Q36" s="16"/>
      <c r="R36" s="16"/>
    </row>
    <row r="37" spans="1:18">
      <c r="A37" s="16"/>
      <c r="B37" s="16"/>
      <c r="C37" s="16"/>
      <c r="D37" s="16"/>
      <c r="E37" s="16"/>
      <c r="F37" s="16"/>
      <c r="G37" s="16"/>
      <c r="H37" s="16"/>
      <c r="I37" s="16"/>
      <c r="J37" s="16"/>
      <c r="K37" s="16"/>
      <c r="L37" s="16"/>
      <c r="M37" s="16"/>
      <c r="N37" s="16"/>
      <c r="O37" s="16"/>
      <c r="P37" s="16"/>
      <c r="Q37" s="16"/>
      <c r="R37" s="16"/>
    </row>
    <row r="38" spans="1:18">
      <c r="A38" s="16"/>
      <c r="B38" s="16"/>
      <c r="C38" s="16"/>
      <c r="D38" s="16"/>
      <c r="E38" s="16"/>
      <c r="F38" s="16"/>
      <c r="G38" s="16"/>
      <c r="H38" s="16"/>
      <c r="I38" s="16"/>
      <c r="J38" s="16"/>
      <c r="K38" s="16"/>
      <c r="L38" s="16"/>
      <c r="M38" s="16"/>
      <c r="N38" s="16"/>
      <c r="O38" s="16"/>
      <c r="P38" s="16"/>
      <c r="Q38" s="16"/>
      <c r="R38" s="16"/>
    </row>
    <row r="39" spans="1:18">
      <c r="A39" s="16"/>
      <c r="B39" s="16"/>
      <c r="C39" s="16"/>
      <c r="D39" s="16"/>
      <c r="E39" s="16"/>
      <c r="F39" s="16"/>
      <c r="G39" s="16"/>
      <c r="H39" s="16"/>
      <c r="I39" s="16"/>
      <c r="J39" s="16"/>
      <c r="K39" s="16"/>
      <c r="L39" s="16"/>
      <c r="M39" s="16"/>
      <c r="N39" s="16"/>
      <c r="O39" s="16"/>
      <c r="P39" s="16"/>
      <c r="Q39" s="16"/>
      <c r="R39" s="16"/>
    </row>
    <row r="40" spans="1:18">
      <c r="A40" s="16"/>
      <c r="B40" s="16"/>
      <c r="C40" s="16"/>
      <c r="D40" s="16"/>
      <c r="E40" s="16"/>
      <c r="F40" s="16"/>
      <c r="G40" s="16"/>
      <c r="H40" s="16"/>
      <c r="I40" s="16"/>
      <c r="J40" s="16"/>
      <c r="K40" s="16"/>
      <c r="L40" s="16"/>
      <c r="M40" s="16"/>
      <c r="N40" s="16"/>
      <c r="O40" s="16"/>
      <c r="P40" s="16"/>
      <c r="Q40" s="16"/>
      <c r="R40" s="16"/>
    </row>
    <row r="41" spans="1:18">
      <c r="A41" s="16"/>
      <c r="B41" s="16"/>
      <c r="C41" s="16"/>
      <c r="D41" s="16"/>
      <c r="E41" s="16"/>
      <c r="F41" s="16"/>
      <c r="G41" s="16"/>
      <c r="H41" s="16"/>
      <c r="I41" s="16"/>
      <c r="J41" s="16"/>
      <c r="K41" s="16"/>
      <c r="L41" s="16"/>
      <c r="M41" s="16"/>
      <c r="N41" s="16"/>
      <c r="O41" s="16"/>
      <c r="P41" s="16"/>
      <c r="Q41" s="16"/>
      <c r="R41" s="16"/>
    </row>
    <row r="42" spans="1:18">
      <c r="A42" s="16"/>
      <c r="B42" s="16"/>
      <c r="C42" s="16"/>
      <c r="D42" s="16"/>
      <c r="E42" s="16"/>
      <c r="F42" s="16"/>
      <c r="G42" s="16"/>
      <c r="H42" s="16"/>
      <c r="I42" s="16"/>
      <c r="J42" s="16"/>
      <c r="K42" s="16"/>
      <c r="L42" s="16"/>
      <c r="M42" s="16"/>
      <c r="N42" s="16"/>
      <c r="O42" s="16"/>
      <c r="P42" s="16"/>
      <c r="Q42" s="16"/>
      <c r="R42" s="16"/>
    </row>
    <row r="43" spans="1:18">
      <c r="A43" s="16"/>
      <c r="B43" s="16"/>
      <c r="C43" s="16"/>
      <c r="D43" s="16"/>
      <c r="E43" s="16"/>
      <c r="F43" s="16"/>
      <c r="G43" s="16"/>
      <c r="H43" s="16"/>
      <c r="I43" s="16"/>
      <c r="J43" s="16"/>
      <c r="K43" s="16"/>
      <c r="L43" s="16"/>
      <c r="M43" s="16"/>
      <c r="N43" s="16"/>
      <c r="O43" s="16"/>
      <c r="P43" s="16"/>
      <c r="Q43" s="16"/>
      <c r="R43" s="16"/>
    </row>
    <row r="44" spans="1:18">
      <c r="A44" s="16"/>
      <c r="B44" s="16"/>
      <c r="C44" s="16"/>
      <c r="D44" s="16"/>
      <c r="E44" s="16"/>
      <c r="F44" s="16"/>
      <c r="G44" s="16"/>
      <c r="H44" s="16"/>
      <c r="I44" s="16"/>
      <c r="J44" s="16"/>
      <c r="K44" s="16"/>
      <c r="L44" s="16"/>
      <c r="M44" s="16"/>
      <c r="N44" s="16"/>
      <c r="O44" s="16"/>
      <c r="P44" s="16"/>
      <c r="Q44" s="16"/>
      <c r="R44" s="16"/>
    </row>
    <row r="45" spans="1:18">
      <c r="A45" s="16"/>
      <c r="B45" s="16"/>
      <c r="C45" s="16"/>
      <c r="D45" s="16"/>
      <c r="E45" s="16"/>
      <c r="F45" s="16"/>
      <c r="G45" s="16"/>
      <c r="H45" s="16"/>
      <c r="I45" s="16"/>
      <c r="J45" s="16"/>
      <c r="K45" s="16"/>
      <c r="L45" s="16"/>
      <c r="M45" s="16"/>
      <c r="N45" s="16"/>
      <c r="O45" s="16"/>
      <c r="P45" s="16"/>
      <c r="Q45" s="16"/>
      <c r="R45" s="16"/>
    </row>
    <row r="46" spans="1:18">
      <c r="A46" s="16"/>
      <c r="B46" s="16"/>
      <c r="C46" s="16"/>
      <c r="D46" s="16"/>
      <c r="E46" s="16"/>
      <c r="F46" s="16"/>
      <c r="G46" s="16"/>
      <c r="H46" s="16"/>
      <c r="I46" s="16"/>
      <c r="J46" s="16"/>
      <c r="K46" s="16"/>
      <c r="L46" s="16"/>
      <c r="M46" s="16"/>
      <c r="N46" s="16"/>
      <c r="O46" s="16"/>
      <c r="P46" s="16"/>
      <c r="Q46" s="16"/>
      <c r="R46" s="16"/>
    </row>
    <row r="47" spans="1:18">
      <c r="A47" s="16"/>
      <c r="B47" s="16"/>
      <c r="C47" s="16"/>
      <c r="D47" s="16"/>
      <c r="E47" s="16"/>
      <c r="F47" s="16"/>
      <c r="G47" s="16"/>
      <c r="H47" s="16"/>
      <c r="I47" s="16"/>
      <c r="J47" s="16"/>
      <c r="K47" s="16"/>
      <c r="L47" s="16"/>
      <c r="M47" s="16"/>
      <c r="N47" s="16"/>
      <c r="O47" s="16"/>
      <c r="P47" s="16"/>
      <c r="Q47" s="16"/>
      <c r="R47" s="16"/>
    </row>
    <row r="48" spans="1:18">
      <c r="A48" s="16"/>
      <c r="B48" s="16"/>
      <c r="C48" s="16"/>
      <c r="D48" s="16"/>
      <c r="E48" s="16"/>
      <c r="F48" s="16"/>
      <c r="G48" s="16"/>
      <c r="H48" s="16"/>
      <c r="I48" s="16"/>
      <c r="J48" s="16"/>
      <c r="K48" s="16"/>
      <c r="L48" s="16"/>
      <c r="M48" s="16"/>
      <c r="N48" s="16"/>
      <c r="O48" s="16"/>
      <c r="P48" s="16"/>
      <c r="Q48" s="16"/>
      <c r="R48" s="16"/>
    </row>
    <row r="49" spans="1:18">
      <c r="A49" s="16"/>
      <c r="B49" s="16"/>
      <c r="C49" s="16"/>
      <c r="D49" s="16"/>
      <c r="E49" s="16"/>
      <c r="F49" s="16"/>
      <c r="G49" s="16"/>
      <c r="H49" s="16"/>
      <c r="I49" s="16"/>
      <c r="J49" s="16"/>
      <c r="K49" s="16"/>
      <c r="L49" s="16"/>
      <c r="M49" s="16"/>
      <c r="N49" s="16"/>
      <c r="O49" s="16"/>
      <c r="P49" s="16"/>
      <c r="Q49" s="16"/>
      <c r="R49" s="16"/>
    </row>
    <row r="50" spans="1:18">
      <c r="A50" s="16"/>
      <c r="B50" s="16"/>
      <c r="C50" s="16"/>
      <c r="D50" s="16"/>
      <c r="E50" s="16"/>
      <c r="F50" s="16"/>
      <c r="G50" s="16"/>
      <c r="H50" s="16"/>
      <c r="I50" s="16"/>
      <c r="J50" s="16"/>
      <c r="K50" s="16"/>
      <c r="L50" s="16"/>
      <c r="M50" s="16"/>
      <c r="N50" s="16"/>
      <c r="O50" s="16"/>
      <c r="P50" s="16"/>
      <c r="Q50" s="16"/>
      <c r="R50" s="16"/>
    </row>
    <row r="51" spans="1:18">
      <c r="A51" s="16"/>
      <c r="B51" s="16"/>
      <c r="C51" s="16"/>
      <c r="D51" s="16"/>
      <c r="E51" s="16"/>
      <c r="F51" s="16"/>
      <c r="G51" s="16"/>
      <c r="H51" s="16"/>
      <c r="I51" s="16"/>
      <c r="J51" s="16"/>
      <c r="K51" s="16"/>
      <c r="L51" s="16"/>
      <c r="M51" s="16"/>
      <c r="N51" s="16"/>
      <c r="O51" s="16"/>
      <c r="P51" s="16"/>
      <c r="Q51" s="16"/>
      <c r="R51" s="16"/>
    </row>
    <row r="52" spans="1:18">
      <c r="A52" s="16"/>
      <c r="B52" s="16"/>
      <c r="C52" s="16"/>
      <c r="D52" s="16"/>
      <c r="E52" s="16"/>
      <c r="F52" s="16"/>
      <c r="G52" s="16"/>
      <c r="H52" s="16"/>
      <c r="I52" s="16"/>
      <c r="J52" s="16"/>
      <c r="K52" s="16"/>
      <c r="L52" s="16"/>
      <c r="M52" s="16"/>
      <c r="N52" s="16"/>
      <c r="O52" s="16"/>
      <c r="P52" s="16"/>
      <c r="Q52" s="16"/>
      <c r="R52" s="16"/>
    </row>
    <row r="53" spans="1:18">
      <c r="A53" s="16"/>
      <c r="B53" s="16"/>
      <c r="C53" s="16"/>
      <c r="D53" s="16"/>
      <c r="E53" s="16"/>
      <c r="F53" s="16"/>
      <c r="G53" s="16"/>
      <c r="H53" s="16"/>
      <c r="I53" s="16"/>
      <c r="J53" s="16"/>
      <c r="K53" s="16"/>
      <c r="L53" s="16"/>
      <c r="M53" s="16"/>
      <c r="N53" s="16"/>
      <c r="O53" s="16"/>
      <c r="P53" s="16"/>
      <c r="Q53" s="16"/>
      <c r="R53" s="16"/>
    </row>
    <row r="54" spans="1:18">
      <c r="A54" s="16"/>
      <c r="B54" s="16"/>
      <c r="C54" s="16"/>
      <c r="D54" s="16"/>
      <c r="E54" s="16"/>
      <c r="F54" s="16"/>
      <c r="G54" s="16"/>
      <c r="H54" s="16"/>
      <c r="I54" s="16"/>
      <c r="J54" s="16"/>
      <c r="K54" s="16"/>
      <c r="L54" s="16"/>
      <c r="M54" s="16"/>
      <c r="N54" s="16"/>
      <c r="O54" s="16"/>
      <c r="P54" s="16"/>
      <c r="Q54" s="16"/>
      <c r="R54" s="16"/>
    </row>
    <row r="55" spans="1:18">
      <c r="A55" s="16"/>
      <c r="B55" s="16"/>
      <c r="C55" s="16"/>
      <c r="D55" s="16"/>
      <c r="E55" s="16"/>
      <c r="F55" s="16"/>
      <c r="G55" s="16"/>
      <c r="H55" s="16"/>
      <c r="I55" s="16"/>
      <c r="J55" s="16"/>
      <c r="K55" s="16"/>
      <c r="L55" s="16"/>
      <c r="M55" s="16"/>
      <c r="N55" s="16"/>
      <c r="O55" s="16"/>
      <c r="P55" s="16"/>
      <c r="Q55" s="16"/>
      <c r="R55" s="16"/>
    </row>
    <row r="56" spans="1:18">
      <c r="A56" s="16"/>
      <c r="B56" s="16"/>
      <c r="C56" s="16"/>
      <c r="D56" s="16"/>
      <c r="E56" s="16"/>
      <c r="F56" s="16"/>
      <c r="G56" s="16"/>
      <c r="H56" s="16"/>
      <c r="I56" s="16"/>
      <c r="J56" s="16"/>
      <c r="K56" s="16"/>
      <c r="L56" s="16"/>
      <c r="M56" s="16"/>
      <c r="N56" s="16"/>
      <c r="O56" s="16"/>
      <c r="P56" s="16"/>
      <c r="Q56" s="16"/>
      <c r="R56" s="16"/>
    </row>
    <row r="57" spans="1:18">
      <c r="A57" s="16"/>
      <c r="B57" s="16"/>
      <c r="C57" s="16"/>
      <c r="D57" s="16"/>
      <c r="E57" s="16"/>
      <c r="F57" s="16"/>
      <c r="G57" s="16"/>
      <c r="H57" s="16"/>
      <c r="I57" s="16"/>
      <c r="J57" s="16"/>
      <c r="K57" s="16"/>
      <c r="L57" s="16"/>
      <c r="M57" s="16"/>
      <c r="N57" s="16"/>
      <c r="O57" s="16"/>
      <c r="P57" s="16"/>
      <c r="Q57" s="16"/>
      <c r="R57" s="16"/>
    </row>
    <row r="58" spans="1:18">
      <c r="A58" s="16"/>
      <c r="B58" s="16"/>
      <c r="C58" s="16"/>
      <c r="D58" s="16"/>
      <c r="E58" s="16"/>
      <c r="F58" s="16"/>
      <c r="G58" s="16"/>
      <c r="H58" s="16"/>
      <c r="I58" s="16"/>
      <c r="J58" s="16"/>
      <c r="K58" s="16"/>
      <c r="L58" s="16"/>
      <c r="M58" s="16"/>
      <c r="N58" s="16"/>
      <c r="O58" s="16"/>
      <c r="P58" s="16"/>
      <c r="Q58" s="16"/>
      <c r="R58" s="16"/>
    </row>
    <row r="59" spans="1:18">
      <c r="A59" s="16"/>
      <c r="B59" s="16"/>
      <c r="C59" s="16"/>
      <c r="D59" s="16"/>
      <c r="E59" s="16"/>
      <c r="F59" s="16"/>
      <c r="G59" s="16"/>
      <c r="H59" s="16"/>
      <c r="I59" s="16"/>
      <c r="J59" s="16"/>
      <c r="K59" s="16"/>
      <c r="L59" s="16"/>
      <c r="M59" s="16"/>
      <c r="N59" s="16"/>
      <c r="O59" s="16"/>
      <c r="P59" s="16"/>
      <c r="Q59" s="16"/>
      <c r="R59" s="16"/>
    </row>
    <row r="60" spans="1:18">
      <c r="A60" s="16"/>
      <c r="B60" s="16"/>
      <c r="C60" s="16"/>
      <c r="D60" s="16"/>
      <c r="E60" s="16"/>
      <c r="F60" s="16"/>
      <c r="G60" s="16"/>
      <c r="H60" s="16"/>
      <c r="I60" s="16"/>
      <c r="J60" s="16"/>
      <c r="K60" s="16"/>
      <c r="L60" s="16"/>
      <c r="M60" s="16"/>
      <c r="N60" s="16"/>
      <c r="O60" s="16"/>
      <c r="P60" s="16"/>
      <c r="Q60" s="16"/>
      <c r="R60" s="16"/>
    </row>
    <row r="61" spans="1:18">
      <c r="A61" s="16"/>
      <c r="B61" s="16"/>
      <c r="C61" s="16"/>
      <c r="D61" s="16"/>
      <c r="E61" s="16"/>
      <c r="F61" s="16"/>
      <c r="G61" s="16"/>
      <c r="H61" s="16"/>
      <c r="I61" s="16"/>
      <c r="J61" s="16"/>
      <c r="K61" s="16"/>
      <c r="L61" s="16"/>
      <c r="M61" s="16"/>
      <c r="N61" s="16"/>
      <c r="O61" s="16"/>
      <c r="P61" s="16"/>
      <c r="Q61" s="16"/>
      <c r="R61" s="16"/>
    </row>
    <row r="62" spans="1:18">
      <c r="A62" s="16"/>
      <c r="B62" s="16"/>
      <c r="C62" s="16"/>
      <c r="D62" s="16"/>
      <c r="E62" s="16"/>
      <c r="F62" s="16"/>
      <c r="G62" s="16"/>
      <c r="H62" s="16"/>
      <c r="I62" s="16"/>
      <c r="J62" s="16"/>
      <c r="K62" s="16"/>
      <c r="L62" s="16"/>
      <c r="M62" s="16"/>
      <c r="N62" s="16"/>
      <c r="O62" s="16"/>
      <c r="P62" s="16"/>
      <c r="Q62" s="16"/>
      <c r="R62" s="16"/>
    </row>
    <row r="63" spans="1:18">
      <c r="A63" s="16"/>
      <c r="B63" s="16"/>
      <c r="C63" s="16"/>
      <c r="D63" s="16"/>
      <c r="E63" s="16"/>
      <c r="F63" s="16"/>
      <c r="G63" s="16"/>
      <c r="H63" s="16"/>
      <c r="I63" s="16"/>
      <c r="J63" s="16"/>
      <c r="K63" s="16"/>
      <c r="L63" s="16"/>
      <c r="M63" s="16"/>
      <c r="N63" s="16"/>
      <c r="O63" s="16"/>
      <c r="P63" s="16"/>
      <c r="Q63" s="16"/>
      <c r="R63" s="16"/>
    </row>
    <row r="64" spans="1:18">
      <c r="A64" s="16"/>
      <c r="B64" s="16"/>
      <c r="C64" s="16"/>
      <c r="D64" s="16"/>
      <c r="E64" s="16"/>
      <c r="F64" s="16"/>
      <c r="G64" s="16"/>
      <c r="H64" s="16"/>
      <c r="I64" s="16"/>
      <c r="J64" s="16"/>
      <c r="K64" s="16"/>
      <c r="L64" s="16"/>
      <c r="M64" s="16"/>
      <c r="N64" s="16"/>
      <c r="O64" s="16"/>
      <c r="P64" s="16"/>
      <c r="Q64" s="16"/>
      <c r="R64" s="16"/>
    </row>
    <row r="65" spans="1:18">
      <c r="A65" s="16"/>
      <c r="B65" s="16"/>
      <c r="C65" s="16"/>
      <c r="D65" s="16"/>
      <c r="E65" s="16"/>
      <c r="F65" s="16"/>
      <c r="G65" s="16"/>
      <c r="H65" s="16"/>
      <c r="I65" s="16"/>
      <c r="J65" s="16"/>
      <c r="K65" s="16"/>
      <c r="L65" s="16"/>
      <c r="M65" s="16"/>
      <c r="N65" s="16"/>
      <c r="O65" s="16"/>
      <c r="P65" s="16"/>
      <c r="Q65" s="16"/>
      <c r="R65" s="16"/>
    </row>
    <row r="66" spans="1:18">
      <c r="A66" s="16"/>
      <c r="B66" s="16"/>
      <c r="C66" s="16"/>
      <c r="D66" s="16"/>
      <c r="E66" s="16"/>
      <c r="F66" s="16"/>
      <c r="G66" s="16"/>
      <c r="H66" s="16"/>
      <c r="I66" s="16"/>
      <c r="J66" s="16"/>
      <c r="K66" s="16"/>
      <c r="L66" s="16"/>
      <c r="M66" s="16"/>
      <c r="N66" s="16"/>
      <c r="O66" s="16"/>
      <c r="P66" s="16"/>
      <c r="Q66" s="16"/>
      <c r="R66" s="16"/>
    </row>
    <row r="67" spans="1:18">
      <c r="A67" s="16"/>
      <c r="B67" s="16"/>
      <c r="C67" s="16"/>
      <c r="D67" s="16"/>
      <c r="E67" s="16"/>
      <c r="F67" s="16"/>
      <c r="G67" s="16"/>
      <c r="H67" s="16"/>
      <c r="I67" s="16"/>
      <c r="J67" s="16"/>
      <c r="K67" s="16"/>
      <c r="L67" s="16"/>
      <c r="M67" s="16"/>
      <c r="N67" s="16"/>
      <c r="O67" s="16"/>
      <c r="P67" s="16"/>
      <c r="Q67" s="16"/>
      <c r="R67" s="16"/>
    </row>
    <row r="68" spans="1:18">
      <c r="A68" s="16"/>
      <c r="B68" s="16"/>
      <c r="C68" s="16"/>
      <c r="D68" s="16"/>
      <c r="E68" s="16"/>
      <c r="F68" s="16"/>
      <c r="G68" s="16"/>
      <c r="H68" s="16"/>
      <c r="I68" s="16"/>
      <c r="J68" s="16"/>
      <c r="K68" s="16"/>
      <c r="L68" s="16"/>
      <c r="M68" s="16"/>
      <c r="N68" s="16"/>
      <c r="O68" s="16"/>
      <c r="P68" s="16"/>
      <c r="Q68" s="16"/>
      <c r="R68" s="16"/>
    </row>
    <row r="69" spans="1:18">
      <c r="A69" s="16"/>
      <c r="B69" s="16"/>
      <c r="C69" s="16"/>
      <c r="D69" s="16"/>
      <c r="E69" s="16"/>
      <c r="F69" s="16"/>
      <c r="G69" s="16"/>
      <c r="H69" s="16"/>
      <c r="I69" s="16"/>
      <c r="J69" s="16"/>
      <c r="K69" s="16"/>
      <c r="L69" s="16"/>
      <c r="M69" s="16"/>
      <c r="N69" s="16"/>
      <c r="O69" s="16"/>
      <c r="P69" s="16"/>
      <c r="Q69" s="16"/>
      <c r="R69" s="16"/>
    </row>
    <row r="70" spans="1:18">
      <c r="A70" s="16"/>
      <c r="B70" s="16"/>
      <c r="C70" s="16"/>
      <c r="D70" s="16"/>
      <c r="E70" s="16"/>
      <c r="F70" s="16"/>
      <c r="G70" s="16"/>
      <c r="H70" s="16"/>
      <c r="I70" s="16"/>
      <c r="J70" s="16"/>
      <c r="K70" s="16"/>
      <c r="L70" s="16"/>
      <c r="M70" s="16"/>
      <c r="N70" s="16"/>
      <c r="O70" s="16"/>
      <c r="P70" s="16"/>
      <c r="Q70" s="16"/>
      <c r="R70" s="16"/>
    </row>
    <row r="71" spans="1:18">
      <c r="A71" s="16"/>
      <c r="B71" s="16"/>
      <c r="C71" s="16"/>
      <c r="D71" s="16"/>
      <c r="E71" s="16"/>
      <c r="F71" s="16"/>
      <c r="G71" s="16"/>
      <c r="H71" s="16"/>
      <c r="I71" s="16"/>
      <c r="J71" s="16"/>
      <c r="K71" s="16"/>
      <c r="L71" s="16"/>
      <c r="M71" s="16"/>
      <c r="N71" s="16"/>
      <c r="O71" s="16"/>
      <c r="P71" s="16"/>
      <c r="Q71" s="16"/>
      <c r="R71" s="16"/>
    </row>
    <row r="72" spans="1:18">
      <c r="A72" s="16"/>
      <c r="B72" s="16"/>
      <c r="C72" s="16"/>
      <c r="D72" s="16"/>
      <c r="E72" s="16"/>
      <c r="F72" s="16"/>
      <c r="G72" s="16"/>
      <c r="H72" s="16"/>
      <c r="I72" s="16"/>
      <c r="J72" s="16"/>
      <c r="K72" s="16"/>
      <c r="L72" s="16"/>
      <c r="M72" s="16"/>
      <c r="N72" s="16"/>
      <c r="O72" s="16"/>
      <c r="P72" s="16"/>
      <c r="Q72" s="16"/>
      <c r="R72" s="16"/>
    </row>
    <row r="73" spans="1:18">
      <c r="A73" s="16"/>
      <c r="B73" s="16"/>
      <c r="C73" s="16"/>
      <c r="D73" s="16"/>
      <c r="E73" s="16"/>
      <c r="F73" s="16"/>
      <c r="G73" s="16"/>
      <c r="H73" s="16"/>
      <c r="I73" s="16"/>
      <c r="J73" s="16"/>
      <c r="K73" s="16"/>
      <c r="L73" s="16"/>
      <c r="M73" s="16"/>
      <c r="N73" s="16"/>
      <c r="O73" s="16"/>
      <c r="P73" s="16"/>
      <c r="Q73" s="16"/>
      <c r="R73" s="16"/>
    </row>
    <row r="74" spans="1:18">
      <c r="A74" s="16"/>
      <c r="B74" s="16"/>
      <c r="C74" s="16"/>
      <c r="D74" s="16"/>
      <c r="E74" s="16"/>
      <c r="F74" s="16"/>
      <c r="G74" s="16"/>
      <c r="H74" s="16"/>
      <c r="I74" s="16"/>
      <c r="J74" s="16"/>
      <c r="K74" s="16"/>
      <c r="L74" s="16"/>
      <c r="M74" s="16"/>
      <c r="N74" s="16"/>
      <c r="O74" s="16"/>
      <c r="P74" s="16"/>
      <c r="Q74" s="16"/>
      <c r="R74" s="16"/>
    </row>
    <row r="75" spans="1:18">
      <c r="A75" s="16"/>
      <c r="B75" s="16"/>
      <c r="C75" s="16"/>
      <c r="D75" s="16"/>
      <c r="E75" s="16"/>
      <c r="F75" s="16"/>
      <c r="G75" s="16"/>
      <c r="H75" s="16"/>
      <c r="I75" s="16"/>
      <c r="J75" s="16"/>
      <c r="K75" s="16"/>
      <c r="L75" s="16"/>
      <c r="M75" s="16"/>
      <c r="N75" s="16"/>
      <c r="O75" s="16"/>
      <c r="P75" s="16"/>
      <c r="Q75" s="16"/>
      <c r="R75" s="16"/>
    </row>
    <row r="76" spans="1:18">
      <c r="A76" s="16"/>
      <c r="B76" s="16"/>
      <c r="C76" s="16"/>
      <c r="D76" s="16"/>
      <c r="E76" s="16"/>
      <c r="F76" s="16"/>
      <c r="G76" s="16"/>
      <c r="H76" s="16"/>
      <c r="I76" s="16"/>
      <c r="J76" s="16"/>
      <c r="K76" s="16"/>
      <c r="L76" s="16"/>
      <c r="M76" s="16"/>
      <c r="N76" s="16"/>
      <c r="O76" s="16"/>
      <c r="P76" s="16"/>
      <c r="Q76" s="16"/>
      <c r="R76" s="16"/>
    </row>
    <row r="77" spans="1:18">
      <c r="A77" s="16"/>
      <c r="B77" s="16"/>
      <c r="C77" s="16"/>
      <c r="D77" s="16"/>
      <c r="E77" s="16"/>
      <c r="F77" s="16"/>
      <c r="G77" s="16"/>
      <c r="H77" s="16"/>
      <c r="I77" s="16"/>
      <c r="J77" s="16"/>
      <c r="K77" s="16"/>
      <c r="L77" s="16"/>
      <c r="M77" s="16"/>
      <c r="N77" s="16"/>
      <c r="O77" s="16"/>
      <c r="P77" s="16"/>
      <c r="Q77" s="16"/>
      <c r="R77" s="16"/>
    </row>
    <row r="78" spans="1:18">
      <c r="A78" s="16"/>
      <c r="B78" s="16"/>
      <c r="C78" s="16"/>
      <c r="D78" s="16"/>
      <c r="E78" s="16"/>
      <c r="F78" s="16"/>
      <c r="G78" s="16"/>
      <c r="H78" s="16"/>
      <c r="I78" s="16"/>
      <c r="J78" s="16"/>
      <c r="K78" s="16"/>
      <c r="L78" s="16"/>
      <c r="M78" s="16"/>
      <c r="N78" s="16"/>
      <c r="O78" s="16"/>
      <c r="P78" s="16"/>
      <c r="Q78" s="16"/>
      <c r="R78" s="16"/>
    </row>
    <row r="79" spans="1:18">
      <c r="A79" s="16"/>
      <c r="B79" s="16"/>
      <c r="C79" s="16"/>
      <c r="D79" s="16"/>
      <c r="E79" s="16"/>
      <c r="F79" s="16"/>
      <c r="G79" s="16"/>
      <c r="H79" s="16"/>
      <c r="I79" s="16"/>
      <c r="J79" s="16"/>
      <c r="K79" s="16"/>
      <c r="L79" s="16"/>
      <c r="M79" s="16"/>
      <c r="N79" s="16"/>
      <c r="O79" s="16"/>
      <c r="P79" s="16"/>
      <c r="Q79" s="16"/>
      <c r="R79" s="16"/>
    </row>
    <row r="80" spans="1:18">
      <c r="A80" s="16"/>
      <c r="B80" s="16"/>
      <c r="C80" s="16"/>
      <c r="D80" s="16"/>
      <c r="E80" s="16"/>
      <c r="F80" s="16"/>
      <c r="G80" s="16"/>
      <c r="H80" s="16"/>
      <c r="I80" s="16"/>
      <c r="J80" s="16"/>
      <c r="K80" s="16"/>
      <c r="L80" s="16"/>
      <c r="M80" s="16"/>
      <c r="N80" s="16"/>
      <c r="O80" s="16"/>
      <c r="P80" s="16"/>
      <c r="Q80" s="16"/>
      <c r="R80" s="16"/>
    </row>
    <row r="81" spans="1:18">
      <c r="A81" s="16"/>
      <c r="B81" s="16"/>
      <c r="C81" s="16"/>
      <c r="D81" s="16"/>
      <c r="E81" s="16"/>
      <c r="F81" s="16"/>
      <c r="G81" s="16"/>
      <c r="H81" s="16"/>
      <c r="I81" s="16"/>
      <c r="J81" s="16"/>
      <c r="K81" s="16"/>
      <c r="L81" s="16"/>
      <c r="M81" s="16"/>
      <c r="N81" s="16"/>
      <c r="O81" s="16"/>
      <c r="P81" s="16"/>
      <c r="Q81" s="16"/>
      <c r="R81" s="16"/>
    </row>
    <row r="82" spans="1:18">
      <c r="A82" s="16"/>
      <c r="B82" s="16"/>
      <c r="C82" s="16"/>
      <c r="D82" s="16"/>
      <c r="E82" s="16"/>
      <c r="F82" s="16"/>
      <c r="G82" s="16"/>
      <c r="H82" s="16"/>
      <c r="I82" s="16"/>
      <c r="J82" s="16"/>
      <c r="K82" s="16"/>
      <c r="L82" s="16"/>
      <c r="M82" s="16"/>
      <c r="N82" s="16"/>
      <c r="O82" s="16"/>
      <c r="P82" s="16"/>
      <c r="Q82" s="16"/>
      <c r="R82" s="16"/>
    </row>
    <row r="83" spans="1:18">
      <c r="A83" s="16"/>
      <c r="B83" s="16"/>
      <c r="C83" s="16"/>
      <c r="D83" s="16"/>
      <c r="E83" s="16"/>
      <c r="F83" s="16"/>
      <c r="G83" s="16"/>
      <c r="H83" s="16"/>
      <c r="I83" s="16"/>
      <c r="J83" s="16"/>
      <c r="K83" s="16"/>
      <c r="L83" s="16"/>
      <c r="M83" s="16"/>
      <c r="N83" s="16"/>
      <c r="O83" s="16"/>
      <c r="P83" s="16"/>
      <c r="Q83" s="16"/>
      <c r="R83" s="16"/>
    </row>
    <row r="84" spans="1:18">
      <c r="A84" s="16"/>
      <c r="B84" s="16"/>
      <c r="C84" s="16"/>
      <c r="D84" s="16"/>
      <c r="E84" s="16"/>
      <c r="F84" s="16"/>
      <c r="G84" s="16"/>
      <c r="H84" s="16"/>
      <c r="I84" s="16"/>
      <c r="J84" s="16"/>
      <c r="K84" s="16"/>
      <c r="L84" s="16"/>
      <c r="M84" s="16"/>
      <c r="N84" s="16"/>
      <c r="O84" s="16"/>
      <c r="P84" s="16"/>
      <c r="Q84" s="16"/>
      <c r="R84" s="16"/>
    </row>
    <row r="85" spans="1:18">
      <c r="A85" s="16"/>
      <c r="B85" s="16"/>
      <c r="C85" s="16"/>
      <c r="D85" s="16"/>
      <c r="E85" s="16"/>
      <c r="F85" s="16"/>
      <c r="G85" s="16"/>
      <c r="H85" s="16"/>
      <c r="I85" s="16"/>
      <c r="J85" s="16"/>
      <c r="K85" s="16"/>
      <c r="L85" s="16"/>
      <c r="M85" s="16"/>
      <c r="N85" s="16"/>
      <c r="O85" s="16"/>
      <c r="P85" s="16"/>
      <c r="Q85" s="16"/>
      <c r="R85" s="16"/>
    </row>
    <row r="86" spans="1:18">
      <c r="A86" s="16"/>
      <c r="B86" s="16"/>
      <c r="C86" s="16"/>
      <c r="D86" s="16"/>
      <c r="E86" s="16"/>
      <c r="F86" s="16"/>
      <c r="G86" s="16"/>
      <c r="H86" s="16"/>
      <c r="I86" s="16"/>
      <c r="J86" s="16"/>
      <c r="K86" s="16"/>
      <c r="L86" s="16"/>
      <c r="M86" s="16"/>
      <c r="N86" s="16"/>
      <c r="O86" s="16"/>
      <c r="P86" s="16"/>
      <c r="Q86" s="16"/>
      <c r="R86" s="16"/>
    </row>
    <row r="87" spans="1:18">
      <c r="A87" s="16"/>
      <c r="B87" s="16"/>
      <c r="C87" s="16"/>
      <c r="D87" s="16"/>
      <c r="E87" s="16"/>
      <c r="F87" s="16"/>
      <c r="G87" s="16"/>
      <c r="H87" s="16"/>
      <c r="I87" s="16"/>
      <c r="J87" s="16"/>
      <c r="K87" s="16"/>
      <c r="L87" s="16"/>
      <c r="M87" s="16"/>
      <c r="N87" s="16"/>
      <c r="O87" s="16"/>
      <c r="P87" s="16"/>
      <c r="Q87" s="16"/>
      <c r="R87" s="16"/>
    </row>
    <row r="88" spans="1:18">
      <c r="A88" s="16"/>
      <c r="B88" s="16"/>
      <c r="C88" s="16"/>
      <c r="D88" s="16"/>
      <c r="E88" s="16"/>
      <c r="F88" s="16"/>
      <c r="G88" s="16"/>
      <c r="H88" s="16"/>
      <c r="I88" s="16"/>
      <c r="J88" s="16"/>
      <c r="K88" s="16"/>
      <c r="L88" s="16"/>
      <c r="M88" s="16"/>
      <c r="N88" s="16"/>
      <c r="O88" s="16"/>
      <c r="P88" s="16"/>
      <c r="Q88" s="16"/>
      <c r="R88" s="16"/>
    </row>
    <row r="89" spans="1:18">
      <c r="A89" s="16"/>
      <c r="B89" s="16"/>
      <c r="C89" s="16"/>
      <c r="D89" s="16"/>
      <c r="E89" s="16"/>
      <c r="F89" s="16"/>
      <c r="G89" s="16"/>
      <c r="H89" s="16"/>
      <c r="I89" s="16"/>
      <c r="J89" s="16"/>
      <c r="K89" s="16"/>
      <c r="L89" s="16"/>
      <c r="M89" s="16"/>
      <c r="N89" s="16"/>
      <c r="O89" s="16"/>
      <c r="P89" s="16"/>
      <c r="Q89" s="16"/>
      <c r="R89" s="16"/>
    </row>
    <row r="90" spans="1:18">
      <c r="A90" s="16"/>
      <c r="B90" s="16"/>
      <c r="C90" s="16"/>
      <c r="D90" s="16"/>
      <c r="E90" s="16"/>
      <c r="F90" s="16"/>
      <c r="G90" s="16"/>
      <c r="H90" s="16"/>
      <c r="I90" s="16"/>
      <c r="J90" s="16"/>
      <c r="K90" s="16"/>
      <c r="L90" s="16"/>
      <c r="M90" s="16"/>
      <c r="N90" s="16"/>
      <c r="O90" s="16"/>
      <c r="P90" s="16"/>
      <c r="Q90" s="16"/>
      <c r="R90" s="16"/>
    </row>
    <row r="91" spans="1:18">
      <c r="A91" s="16"/>
      <c r="B91" s="16"/>
      <c r="C91" s="16"/>
      <c r="D91" s="16"/>
      <c r="E91" s="16"/>
      <c r="F91" s="16"/>
      <c r="G91" s="16"/>
      <c r="H91" s="16"/>
      <c r="I91" s="16"/>
      <c r="J91" s="16"/>
      <c r="K91" s="16"/>
      <c r="L91" s="16"/>
      <c r="M91" s="16"/>
      <c r="N91" s="16"/>
      <c r="O91" s="16"/>
      <c r="P91" s="16"/>
      <c r="Q91" s="16"/>
      <c r="R91" s="16"/>
    </row>
    <row r="92" spans="1:18">
      <c r="A92" s="16"/>
      <c r="B92" s="16"/>
      <c r="C92" s="16"/>
      <c r="D92" s="16"/>
      <c r="E92" s="16"/>
      <c r="F92" s="16"/>
      <c r="G92" s="16"/>
      <c r="H92" s="16"/>
      <c r="I92" s="16"/>
      <c r="J92" s="16"/>
      <c r="K92" s="16"/>
      <c r="L92" s="16"/>
      <c r="M92" s="16"/>
      <c r="N92" s="16"/>
      <c r="O92" s="16"/>
      <c r="P92" s="16"/>
      <c r="Q92" s="16"/>
      <c r="R92" s="16"/>
    </row>
    <row r="93" spans="1:18">
      <c r="A93" s="16"/>
      <c r="B93" s="16"/>
      <c r="C93" s="16"/>
      <c r="D93" s="16"/>
      <c r="E93" s="16"/>
      <c r="F93" s="16"/>
      <c r="G93" s="16"/>
      <c r="H93" s="16"/>
      <c r="I93" s="16"/>
      <c r="J93" s="16"/>
      <c r="K93" s="16"/>
      <c r="L93" s="16"/>
      <c r="M93" s="16"/>
      <c r="N93" s="16"/>
      <c r="O93" s="16"/>
      <c r="P93" s="16"/>
      <c r="Q93" s="16"/>
      <c r="R93" s="16"/>
    </row>
    <row r="94" spans="1:18">
      <c r="A94" s="16"/>
      <c r="B94" s="16"/>
      <c r="C94" s="16"/>
      <c r="D94" s="16"/>
      <c r="E94" s="16"/>
      <c r="F94" s="16"/>
      <c r="G94" s="16"/>
      <c r="H94" s="16"/>
      <c r="I94" s="16"/>
      <c r="J94" s="16"/>
      <c r="K94" s="16"/>
      <c r="L94" s="16"/>
      <c r="M94" s="16"/>
      <c r="N94" s="16"/>
      <c r="O94" s="16"/>
      <c r="P94" s="16"/>
      <c r="Q94" s="16"/>
      <c r="R94" s="16"/>
    </row>
    <row r="95" spans="1:18">
      <c r="A95" s="16"/>
      <c r="B95" s="16"/>
      <c r="C95" s="16"/>
      <c r="D95" s="16"/>
      <c r="E95" s="16"/>
      <c r="F95" s="16"/>
      <c r="G95" s="16"/>
      <c r="H95" s="16"/>
      <c r="I95" s="16"/>
      <c r="J95" s="16"/>
      <c r="K95" s="16"/>
      <c r="L95" s="16"/>
      <c r="M95" s="16"/>
      <c r="N95" s="16"/>
      <c r="O95" s="16"/>
      <c r="P95" s="16"/>
      <c r="Q95" s="16"/>
      <c r="R95" s="16"/>
    </row>
    <row r="96" spans="1:18">
      <c r="A96" s="16"/>
      <c r="B96" s="16"/>
      <c r="C96" s="16"/>
      <c r="D96" s="16"/>
      <c r="E96" s="16"/>
      <c r="F96" s="16"/>
      <c r="G96" s="16"/>
      <c r="H96" s="16"/>
      <c r="I96" s="16"/>
      <c r="J96" s="16"/>
      <c r="K96" s="16"/>
      <c r="L96" s="16"/>
      <c r="M96" s="16"/>
      <c r="N96" s="16"/>
      <c r="O96" s="16"/>
      <c r="P96" s="16"/>
      <c r="Q96" s="16"/>
      <c r="R96" s="16"/>
    </row>
    <row r="97" spans="1:18">
      <c r="A97" s="16"/>
      <c r="B97" s="16"/>
      <c r="C97" s="16"/>
      <c r="D97" s="16"/>
      <c r="E97" s="16"/>
      <c r="F97" s="16"/>
      <c r="G97" s="16"/>
      <c r="H97" s="16"/>
      <c r="I97" s="16"/>
      <c r="J97" s="16"/>
      <c r="K97" s="16"/>
      <c r="L97" s="16"/>
      <c r="M97" s="16"/>
      <c r="N97" s="16"/>
      <c r="O97" s="16"/>
      <c r="P97" s="16"/>
      <c r="Q97" s="16"/>
      <c r="R97" s="16"/>
    </row>
    <row r="98" spans="1:18">
      <c r="A98" s="16"/>
      <c r="B98" s="16"/>
      <c r="C98" s="16"/>
      <c r="D98" s="16"/>
      <c r="E98" s="16"/>
      <c r="F98" s="16"/>
      <c r="G98" s="16"/>
      <c r="H98" s="16"/>
      <c r="I98" s="16"/>
      <c r="J98" s="16"/>
      <c r="K98" s="16"/>
      <c r="L98" s="16"/>
      <c r="M98" s="16"/>
      <c r="N98" s="16"/>
      <c r="O98" s="16"/>
      <c r="P98" s="16"/>
      <c r="Q98" s="16"/>
      <c r="R98" s="16"/>
    </row>
    <row r="99" spans="1:18">
      <c r="A99" s="16"/>
      <c r="B99" s="16"/>
      <c r="C99" s="16"/>
      <c r="D99" s="16"/>
      <c r="E99" s="16"/>
      <c r="F99" s="16"/>
      <c r="G99" s="16"/>
      <c r="H99" s="16"/>
      <c r="I99" s="16"/>
      <c r="J99" s="16"/>
      <c r="K99" s="16"/>
      <c r="L99" s="16"/>
      <c r="M99" s="16"/>
      <c r="N99" s="16"/>
      <c r="O99" s="16"/>
      <c r="P99" s="16"/>
      <c r="Q99" s="16"/>
      <c r="R99" s="16"/>
    </row>
    <row r="100" spans="1:18">
      <c r="A100" s="16"/>
      <c r="B100" s="16"/>
      <c r="C100" s="16"/>
      <c r="D100" s="16"/>
      <c r="E100" s="16"/>
      <c r="F100" s="16"/>
      <c r="G100" s="16"/>
      <c r="H100" s="16"/>
      <c r="I100" s="16"/>
      <c r="J100" s="16"/>
      <c r="K100" s="16"/>
      <c r="L100" s="16"/>
      <c r="M100" s="16"/>
      <c r="N100" s="16"/>
      <c r="O100" s="16"/>
      <c r="P100" s="16"/>
      <c r="Q100" s="16"/>
      <c r="R100" s="16"/>
    </row>
    <row r="101" spans="1:18">
      <c r="A101" s="16"/>
      <c r="B101" s="16"/>
      <c r="C101" s="16"/>
      <c r="D101" s="16"/>
      <c r="E101" s="16"/>
      <c r="F101" s="16"/>
      <c r="G101" s="16"/>
      <c r="H101" s="16"/>
      <c r="I101" s="16"/>
      <c r="J101" s="16"/>
      <c r="K101" s="16"/>
      <c r="L101" s="16"/>
      <c r="M101" s="16"/>
      <c r="N101" s="16"/>
      <c r="O101" s="16"/>
      <c r="P101" s="16"/>
      <c r="Q101" s="16"/>
      <c r="R101" s="16"/>
    </row>
    <row r="102" spans="1:18">
      <c r="B102" s="16"/>
      <c r="C102" s="16"/>
      <c r="D102" s="16"/>
      <c r="E102" s="16"/>
      <c r="F102" s="16"/>
      <c r="G102" s="16"/>
      <c r="H102" s="16"/>
      <c r="I102" s="16"/>
      <c r="J102" s="16"/>
      <c r="K102" s="16"/>
      <c r="L102" s="16"/>
      <c r="M102" s="16"/>
      <c r="N102" s="16"/>
      <c r="O102" s="16"/>
      <c r="P102" s="16"/>
      <c r="Q102" s="16"/>
      <c r="R102" s="16"/>
    </row>
  </sheetData>
  <mergeCells count="1">
    <mergeCell ref="B2:C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1"/>
  <sheetViews>
    <sheetView topLeftCell="A13" zoomScale="106" zoomScaleNormal="106" workbookViewId="0">
      <selection activeCell="I17" sqref="I17"/>
    </sheetView>
  </sheetViews>
  <sheetFormatPr baseColWidth="10" defaultRowHeight="14.25"/>
  <cols>
    <col min="2" max="2" width="16.5" customWidth="1"/>
    <col min="3" max="3" width="15.875" customWidth="1"/>
    <col min="4" max="4" width="17.375" customWidth="1"/>
    <col min="5" max="5" width="17.625" customWidth="1"/>
  </cols>
  <sheetData>
    <row r="1" spans="1:18" ht="15">
      <c r="A1" s="15"/>
      <c r="B1" s="15"/>
      <c r="C1" s="15"/>
      <c r="D1" s="15"/>
      <c r="E1" s="15"/>
      <c r="F1" s="15"/>
      <c r="G1" s="15"/>
      <c r="H1" s="15"/>
    </row>
    <row r="2" spans="1:18" ht="43.15" customHeight="1">
      <c r="A2" s="16"/>
      <c r="B2" s="15" t="s">
        <v>57</v>
      </c>
      <c r="C2" s="15"/>
      <c r="D2" s="15"/>
      <c r="E2" s="15"/>
      <c r="F2" s="15"/>
      <c r="G2" s="15"/>
      <c r="H2" s="15"/>
    </row>
    <row r="3" spans="1:18" ht="78" customHeight="1">
      <c r="A3" s="16"/>
      <c r="B3" s="20" t="s">
        <v>20</v>
      </c>
      <c r="C3" s="20" t="s">
        <v>21</v>
      </c>
      <c r="D3" s="21" t="s">
        <v>22</v>
      </c>
      <c r="E3" s="20" t="s">
        <v>23</v>
      </c>
      <c r="F3" s="20" t="s">
        <v>24</v>
      </c>
      <c r="G3" s="20" t="s">
        <v>25</v>
      </c>
      <c r="H3" s="20" t="s">
        <v>26</v>
      </c>
      <c r="I3" s="20" t="s">
        <v>27</v>
      </c>
      <c r="J3" s="20" t="s">
        <v>28</v>
      </c>
      <c r="K3" s="20" t="s">
        <v>29</v>
      </c>
      <c r="L3" s="20" t="s">
        <v>30</v>
      </c>
      <c r="M3" s="20" t="s">
        <v>31</v>
      </c>
      <c r="N3" s="20" t="s">
        <v>32</v>
      </c>
      <c r="O3" s="20" t="s">
        <v>33</v>
      </c>
      <c r="P3" s="20" t="s">
        <v>34</v>
      </c>
      <c r="Q3" s="20" t="s">
        <v>35</v>
      </c>
    </row>
    <row r="4" spans="1:18" ht="60">
      <c r="A4" s="2" t="s">
        <v>48</v>
      </c>
      <c r="B4" s="53">
        <f>+'Analyse resultats'!V93</f>
        <v>11</v>
      </c>
      <c r="C4" s="53">
        <f>+'Analyse resultats'!W93</f>
        <v>8</v>
      </c>
      <c r="D4" s="53">
        <f>+'Analyse resultats'!X93</f>
        <v>9</v>
      </c>
      <c r="E4" s="53">
        <f>+'Analyse resultats'!Y93</f>
        <v>9</v>
      </c>
      <c r="F4" s="53">
        <f>+'Analyse resultats'!Z93</f>
        <v>9</v>
      </c>
      <c r="G4" s="53">
        <f>+'Analyse resultats'!AA93</f>
        <v>10</v>
      </c>
      <c r="H4" s="53">
        <f>+'Analyse resultats'!AB93</f>
        <v>11</v>
      </c>
      <c r="I4" s="53">
        <f>+'Analyse resultats'!AC93</f>
        <v>9</v>
      </c>
      <c r="J4" s="53">
        <f>+'Analyse resultats'!AD93</f>
        <v>9</v>
      </c>
      <c r="K4" s="53">
        <f>+'Analyse resultats'!AE93</f>
        <v>14</v>
      </c>
      <c r="L4" s="53">
        <f>+'Analyse resultats'!AF93</f>
        <v>14</v>
      </c>
      <c r="M4" s="53">
        <f>+'Analyse resultats'!AG93</f>
        <v>13</v>
      </c>
      <c r="N4" s="53">
        <f>+'Analyse resultats'!AH93</f>
        <v>11</v>
      </c>
      <c r="O4" s="53">
        <f>+'Analyse resultats'!AI93</f>
        <v>13</v>
      </c>
      <c r="P4" s="53">
        <f>+'Analyse resultats'!AJ93</f>
        <v>14</v>
      </c>
      <c r="Q4" s="53">
        <f>+'Analyse resultats'!AK93</f>
        <v>14</v>
      </c>
      <c r="R4" s="52">
        <f t="shared" ref="R4:R9" si="0">SUM(B4:Q4)</f>
        <v>178</v>
      </c>
    </row>
    <row r="5" spans="1:18" ht="14.45" customHeight="1">
      <c r="A5" s="2" t="s">
        <v>50</v>
      </c>
      <c r="B5" s="27">
        <f>+'Analyse resultats'!AN93</f>
        <v>18</v>
      </c>
      <c r="C5" s="27">
        <f>+'Analyse resultats'!AO93</f>
        <v>16</v>
      </c>
      <c r="D5" s="27">
        <f>+'Analyse resultats'!AP93</f>
        <v>15</v>
      </c>
      <c r="E5" s="27">
        <f>+'Analyse resultats'!AQ93</f>
        <v>22</v>
      </c>
      <c r="F5" s="27">
        <f>+'Analyse resultats'!AR93</f>
        <v>20</v>
      </c>
      <c r="G5" s="27">
        <f>+'Analyse resultats'!AS93</f>
        <v>15</v>
      </c>
      <c r="H5" s="27">
        <f>+'Analyse resultats'!AT93</f>
        <v>14</v>
      </c>
      <c r="I5" s="27">
        <f>+'Analyse resultats'!AU93</f>
        <v>13</v>
      </c>
      <c r="J5" s="27">
        <f>+'Analyse resultats'!AV93</f>
        <v>13</v>
      </c>
      <c r="K5" s="27">
        <f>+'Analyse resultats'!AW93</f>
        <v>18</v>
      </c>
      <c r="L5" s="27">
        <f>+'Analyse resultats'!AX93</f>
        <v>18</v>
      </c>
      <c r="M5" s="27">
        <f>+'Analyse resultats'!AY93</f>
        <v>18</v>
      </c>
      <c r="N5" s="27">
        <f>+'Analyse resultats'!AZ93</f>
        <v>17</v>
      </c>
      <c r="O5" s="27">
        <f>+'Analyse resultats'!BA93</f>
        <v>18</v>
      </c>
      <c r="P5" s="27">
        <f>+'Analyse resultats'!BB93</f>
        <v>21</v>
      </c>
      <c r="Q5" s="27">
        <f>+'Analyse resultats'!BC93</f>
        <v>20</v>
      </c>
      <c r="R5" s="52">
        <f t="shared" si="0"/>
        <v>276</v>
      </c>
    </row>
    <row r="6" spans="1:18" ht="135">
      <c r="A6" s="2" t="s">
        <v>51</v>
      </c>
      <c r="B6" s="27">
        <f>+'Analyse resultats'!BF93</f>
        <v>9</v>
      </c>
      <c r="C6" s="27">
        <f>+'Analyse resultats'!BG93</f>
        <v>9</v>
      </c>
      <c r="D6" s="27">
        <f>+'Analyse resultats'!BH93</f>
        <v>8</v>
      </c>
      <c r="E6" s="27">
        <f>+'Analyse resultats'!BI93</f>
        <v>6</v>
      </c>
      <c r="F6" s="27">
        <f>+'Analyse resultats'!BJ93</f>
        <v>6</v>
      </c>
      <c r="G6" s="27">
        <f>+'Analyse resultats'!BK93</f>
        <v>6</v>
      </c>
      <c r="H6" s="27">
        <f>+'Analyse resultats'!BL93</f>
        <v>6</v>
      </c>
      <c r="I6" s="27">
        <f>+'Analyse resultats'!BM93</f>
        <v>6</v>
      </c>
      <c r="J6" s="27">
        <f>+'Analyse resultats'!BN93</f>
        <v>9</v>
      </c>
      <c r="K6" s="27">
        <f>+'Analyse resultats'!BO93</f>
        <v>9</v>
      </c>
      <c r="L6" s="27">
        <f>+'Analyse resultats'!BP93</f>
        <v>10</v>
      </c>
      <c r="M6" s="27">
        <f>+'Analyse resultats'!BQ93</f>
        <v>7</v>
      </c>
      <c r="N6" s="27">
        <f>+'Analyse resultats'!BR93</f>
        <v>7</v>
      </c>
      <c r="O6" s="27">
        <f>+'Analyse resultats'!BS93</f>
        <v>10</v>
      </c>
      <c r="P6" s="27">
        <f>+'Analyse resultats'!BT93</f>
        <v>10</v>
      </c>
      <c r="Q6" s="27">
        <f>+'Analyse resultats'!BU93</f>
        <v>10</v>
      </c>
      <c r="R6" s="52">
        <f t="shared" si="0"/>
        <v>128</v>
      </c>
    </row>
    <row r="7" spans="1:18" ht="90">
      <c r="A7" s="2" t="s">
        <v>52</v>
      </c>
      <c r="B7" s="27">
        <f>+'Analyse resultats'!BX93</f>
        <v>8</v>
      </c>
      <c r="C7" s="27">
        <f>+'Analyse resultats'!BY93</f>
        <v>5</v>
      </c>
      <c r="D7" s="27">
        <f>+'Analyse resultats'!BZ93</f>
        <v>9</v>
      </c>
      <c r="E7" s="27">
        <f>+'Analyse resultats'!CA93</f>
        <v>10</v>
      </c>
      <c r="F7" s="27">
        <f>+'Analyse resultats'!CB93</f>
        <v>10</v>
      </c>
      <c r="G7" s="27">
        <f>+'Analyse resultats'!CC93</f>
        <v>10</v>
      </c>
      <c r="H7" s="27">
        <f>+'Analyse resultats'!CD93</f>
        <v>8</v>
      </c>
      <c r="I7" s="27">
        <f>+'Analyse resultats'!CE93</f>
        <v>7</v>
      </c>
      <c r="J7" s="27">
        <f>+'Analyse resultats'!CF93</f>
        <v>9</v>
      </c>
      <c r="K7" s="27">
        <f>+'Analyse resultats'!CG93</f>
        <v>12</v>
      </c>
      <c r="L7" s="27">
        <f>+'Analyse resultats'!CH93</f>
        <v>12</v>
      </c>
      <c r="M7" s="27">
        <f>+'Analyse resultats'!CI93</f>
        <v>9</v>
      </c>
      <c r="N7" s="27">
        <f>+'Analyse resultats'!CJ93</f>
        <v>8</v>
      </c>
      <c r="O7" s="27">
        <f>+'Analyse resultats'!CK93</f>
        <v>12</v>
      </c>
      <c r="P7" s="27">
        <f>+'Analyse resultats'!CL93</f>
        <v>12</v>
      </c>
      <c r="Q7" s="27">
        <f>+'Analyse resultats'!CM93</f>
        <v>11</v>
      </c>
      <c r="R7" s="52">
        <f t="shared" si="0"/>
        <v>152</v>
      </c>
    </row>
    <row r="8" spans="1:18" ht="45">
      <c r="A8" s="2" t="s">
        <v>151</v>
      </c>
      <c r="B8" s="27">
        <f>+'Analyse resultats'!CP93</f>
        <v>20</v>
      </c>
      <c r="C8" s="27">
        <f>+'Analyse resultats'!CQ93</f>
        <v>18</v>
      </c>
      <c r="D8" s="27">
        <f>+'Analyse resultats'!CR93</f>
        <v>20</v>
      </c>
      <c r="E8" s="27">
        <f>+'Analyse resultats'!CS93</f>
        <v>21</v>
      </c>
      <c r="F8" s="27">
        <f>+'Analyse resultats'!CT93</f>
        <v>25</v>
      </c>
      <c r="G8" s="27">
        <f>+'Analyse resultats'!CU93</f>
        <v>24</v>
      </c>
      <c r="H8" s="27">
        <f>+'Analyse resultats'!CV93</f>
        <v>20</v>
      </c>
      <c r="I8" s="27">
        <f>+'Analyse resultats'!CW93</f>
        <v>19</v>
      </c>
      <c r="J8" s="27">
        <f>+'Analyse resultats'!CX93</f>
        <v>23</v>
      </c>
      <c r="K8" s="27">
        <f>+'Analyse resultats'!CY93</f>
        <v>24</v>
      </c>
      <c r="L8" s="27">
        <f>+'Analyse resultats'!CZ93</f>
        <v>25</v>
      </c>
      <c r="M8" s="27">
        <f>+'Analyse resultats'!DA93</f>
        <v>21</v>
      </c>
      <c r="N8" s="27">
        <f>+'Analyse resultats'!DB93</f>
        <v>21</v>
      </c>
      <c r="O8" s="27">
        <f>+'Analyse resultats'!DC93</f>
        <v>25</v>
      </c>
      <c r="P8" s="27">
        <f>+'Analyse resultats'!DD93</f>
        <v>25</v>
      </c>
      <c r="Q8" s="27">
        <f>+'Analyse resultats'!DE93</f>
        <v>24</v>
      </c>
      <c r="R8" s="52">
        <f t="shared" si="0"/>
        <v>355</v>
      </c>
    </row>
    <row r="9" spans="1:18" ht="45">
      <c r="A9" s="2" t="s">
        <v>9</v>
      </c>
      <c r="B9" s="27">
        <f>+'Analyse resultats'!DH93</f>
        <v>19</v>
      </c>
      <c r="C9" s="27">
        <f>+'Analyse resultats'!DI93</f>
        <v>17</v>
      </c>
      <c r="D9" s="27">
        <f>+'Analyse resultats'!DJ93</f>
        <v>21</v>
      </c>
      <c r="E9" s="27">
        <f>+'Analyse resultats'!DK93</f>
        <v>21</v>
      </c>
      <c r="F9" s="27">
        <f>+'Analyse resultats'!DL93</f>
        <v>22</v>
      </c>
      <c r="G9" s="27">
        <f>+'Analyse resultats'!DM93</f>
        <v>20</v>
      </c>
      <c r="H9" s="27">
        <f>+'Analyse resultats'!DN93</f>
        <v>18</v>
      </c>
      <c r="I9" s="27">
        <f>+'Analyse resultats'!DO93</f>
        <v>17</v>
      </c>
      <c r="J9" s="27">
        <f>+'Analyse resultats'!DP93</f>
        <v>20</v>
      </c>
      <c r="K9" s="27">
        <f>+'Analyse resultats'!DQ93</f>
        <v>22</v>
      </c>
      <c r="L9" s="27">
        <f>+'Analyse resultats'!DR93</f>
        <v>22</v>
      </c>
      <c r="M9" s="27">
        <f>+'Analyse resultats'!DS93</f>
        <v>18</v>
      </c>
      <c r="N9" s="27">
        <f>+'Analyse resultats'!DT93</f>
        <v>18</v>
      </c>
      <c r="O9" s="27">
        <f>+'Analyse resultats'!DU93</f>
        <v>22</v>
      </c>
      <c r="P9" s="27">
        <f>+'Analyse resultats'!DV93</f>
        <v>22</v>
      </c>
      <c r="Q9" s="27">
        <f>+'Analyse resultats'!DW93</f>
        <v>22</v>
      </c>
      <c r="R9" s="52">
        <f t="shared" si="0"/>
        <v>321</v>
      </c>
    </row>
    <row r="10" spans="1:18">
      <c r="A10" s="16"/>
      <c r="B10" s="16"/>
      <c r="C10" s="16"/>
      <c r="D10" s="16"/>
      <c r="E10" s="16"/>
      <c r="F10" s="16"/>
      <c r="G10" s="16"/>
      <c r="H10" s="16"/>
    </row>
    <row r="11" spans="1:18" ht="14.45" customHeight="1">
      <c r="A11" s="16"/>
      <c r="B11" s="16"/>
      <c r="C11" s="16"/>
      <c r="D11" s="16"/>
      <c r="E11" s="16"/>
      <c r="F11" s="16"/>
      <c r="G11" s="16"/>
      <c r="H11" s="16"/>
    </row>
    <row r="12" spans="1:18">
      <c r="A12" s="16"/>
      <c r="B12" s="16"/>
      <c r="C12" s="16"/>
      <c r="D12" s="16"/>
      <c r="E12" s="16"/>
      <c r="F12" s="16"/>
      <c r="G12" s="16"/>
      <c r="H12" s="16"/>
    </row>
    <row r="13" spans="1:18">
      <c r="A13" s="16"/>
      <c r="B13" s="16"/>
      <c r="C13" s="16"/>
      <c r="D13" s="16"/>
      <c r="E13" s="16"/>
      <c r="F13" s="16"/>
      <c r="G13" s="16"/>
      <c r="H13" s="16"/>
    </row>
    <row r="14" spans="1:18">
      <c r="A14" s="16"/>
      <c r="B14" s="16"/>
      <c r="C14" s="16"/>
      <c r="D14" s="16"/>
      <c r="E14" s="16"/>
      <c r="F14" s="16"/>
      <c r="G14" s="16"/>
      <c r="H14" s="16"/>
    </row>
    <row r="15" spans="1:18">
      <c r="A15" s="16"/>
      <c r="B15" s="16"/>
      <c r="C15" s="16"/>
      <c r="D15" s="16"/>
      <c r="E15" s="16"/>
      <c r="F15" s="16"/>
      <c r="G15" s="16"/>
      <c r="H15" s="16"/>
    </row>
    <row r="16" spans="1:18">
      <c r="A16" s="16"/>
      <c r="B16" s="16"/>
      <c r="C16" s="16"/>
      <c r="D16" s="16"/>
      <c r="E16" s="16"/>
      <c r="F16" s="16"/>
      <c r="G16" s="16"/>
      <c r="H16" s="16"/>
    </row>
    <row r="17" spans="1:8">
      <c r="A17" s="16"/>
      <c r="B17" s="16"/>
      <c r="C17" s="16"/>
      <c r="D17" s="16"/>
      <c r="E17" s="16"/>
      <c r="F17" s="16"/>
      <c r="G17" s="16"/>
      <c r="H17" s="16"/>
    </row>
    <row r="18" spans="1:8">
      <c r="A18" s="16"/>
      <c r="B18" s="16"/>
      <c r="C18" s="16"/>
      <c r="D18" s="16"/>
      <c r="E18" s="16"/>
      <c r="F18" s="16"/>
      <c r="G18" s="16"/>
      <c r="H18" s="16"/>
    </row>
    <row r="19" spans="1:8">
      <c r="A19" s="16"/>
      <c r="B19" s="16"/>
      <c r="C19" s="16"/>
      <c r="D19" s="16"/>
      <c r="E19" s="16"/>
      <c r="F19" s="16"/>
      <c r="G19" s="16"/>
      <c r="H19" s="16"/>
    </row>
    <row r="20" spans="1:8">
      <c r="A20" s="16"/>
      <c r="B20" s="16"/>
      <c r="C20" s="16"/>
      <c r="D20" s="16"/>
      <c r="E20" s="16"/>
      <c r="F20" s="16"/>
      <c r="G20" s="16"/>
      <c r="H20" s="16"/>
    </row>
    <row r="21" spans="1:8">
      <c r="A21" s="16"/>
      <c r="B21" s="16"/>
      <c r="C21" s="16"/>
      <c r="D21" s="16"/>
      <c r="E21" s="16"/>
      <c r="F21" s="16"/>
      <c r="G21" s="16"/>
      <c r="H21" s="16"/>
    </row>
    <row r="22" spans="1:8">
      <c r="A22" s="16"/>
      <c r="B22" s="16"/>
      <c r="C22" s="16"/>
      <c r="D22" s="16"/>
      <c r="E22" s="16"/>
      <c r="F22" s="16"/>
      <c r="G22" s="16"/>
      <c r="H22" s="16"/>
    </row>
    <row r="23" spans="1:8">
      <c r="A23" s="16"/>
      <c r="B23" s="16"/>
      <c r="C23" s="16"/>
      <c r="D23" s="16"/>
      <c r="E23" s="16"/>
      <c r="F23" s="16"/>
      <c r="G23" s="16"/>
      <c r="H23" s="16"/>
    </row>
    <row r="24" spans="1:8">
      <c r="A24" s="16"/>
      <c r="B24" s="16"/>
      <c r="C24" s="16"/>
      <c r="D24" s="16"/>
      <c r="E24" s="16"/>
      <c r="F24" s="16"/>
      <c r="G24" s="16"/>
      <c r="H24" s="16"/>
    </row>
    <row r="25" spans="1:8">
      <c r="A25" s="16"/>
      <c r="B25" s="16"/>
      <c r="C25" s="16"/>
      <c r="D25" s="16"/>
      <c r="E25" s="16"/>
      <c r="F25" s="16"/>
      <c r="G25" s="16"/>
      <c r="H25" s="16"/>
    </row>
    <row r="26" spans="1:8">
      <c r="A26" s="16"/>
      <c r="B26" s="16"/>
      <c r="C26" s="16"/>
      <c r="D26" s="16"/>
      <c r="E26" s="16"/>
      <c r="F26" s="16"/>
      <c r="G26" s="16"/>
      <c r="H26" s="16"/>
    </row>
    <row r="27" spans="1:8">
      <c r="A27" s="16"/>
      <c r="B27" s="16"/>
      <c r="C27" s="16"/>
      <c r="D27" s="16"/>
      <c r="E27" s="16"/>
      <c r="F27" s="16"/>
      <c r="G27" s="16"/>
      <c r="H27" s="16"/>
    </row>
    <row r="28" spans="1:8">
      <c r="A28" s="16"/>
      <c r="B28" s="16"/>
      <c r="C28" s="16"/>
      <c r="D28" s="16"/>
      <c r="E28" s="16"/>
      <c r="F28" s="16"/>
      <c r="G28" s="16"/>
      <c r="H28" s="16"/>
    </row>
    <row r="29" spans="1:8">
      <c r="A29" s="16"/>
      <c r="B29" s="16"/>
      <c r="C29" s="16"/>
      <c r="D29" s="16"/>
      <c r="E29" s="16"/>
      <c r="F29" s="16"/>
      <c r="G29" s="16"/>
      <c r="H29" s="16"/>
    </row>
    <row r="30" spans="1:8">
      <c r="A30" s="16"/>
      <c r="B30" s="16"/>
      <c r="C30" s="16"/>
      <c r="D30" s="16"/>
      <c r="E30" s="16"/>
      <c r="F30" s="16"/>
      <c r="G30" s="16"/>
      <c r="H30" s="16"/>
    </row>
    <row r="31" spans="1:8">
      <c r="A31" s="16"/>
      <c r="B31" s="16"/>
      <c r="C31" s="16"/>
      <c r="D31" s="16"/>
      <c r="E31" s="16"/>
      <c r="F31" s="16"/>
      <c r="G31" s="16"/>
      <c r="H31" s="16"/>
    </row>
    <row r="32" spans="1:8">
      <c r="A32" s="16"/>
      <c r="B32" s="16"/>
      <c r="C32" s="16"/>
      <c r="D32" s="16"/>
      <c r="E32" s="16"/>
      <c r="F32" s="16"/>
      <c r="G32" s="16"/>
      <c r="H32" s="16"/>
    </row>
    <row r="33" spans="1:8">
      <c r="A33" s="16"/>
      <c r="B33" s="16"/>
      <c r="C33" s="16"/>
      <c r="D33" s="16"/>
      <c r="E33" s="16"/>
      <c r="F33" s="16"/>
      <c r="G33" s="16"/>
      <c r="H33" s="16"/>
    </row>
    <row r="34" spans="1:8">
      <c r="A34" s="16"/>
      <c r="B34" s="16"/>
      <c r="C34" s="16"/>
      <c r="D34" s="16"/>
      <c r="E34" s="16"/>
      <c r="F34" s="16"/>
      <c r="G34" s="16"/>
      <c r="H34" s="16"/>
    </row>
    <row r="35" spans="1:8">
      <c r="A35" s="16"/>
      <c r="B35" s="16"/>
      <c r="C35" s="16"/>
      <c r="D35" s="16"/>
      <c r="E35" s="16"/>
      <c r="F35" s="16"/>
      <c r="G35" s="16"/>
      <c r="H35" s="16"/>
    </row>
    <row r="36" spans="1:8">
      <c r="A36" s="16"/>
      <c r="B36" s="16"/>
      <c r="C36" s="16"/>
      <c r="D36" s="16"/>
      <c r="E36" s="16"/>
      <c r="F36" s="16"/>
      <c r="G36" s="16"/>
      <c r="H36" s="16"/>
    </row>
    <row r="37" spans="1:8">
      <c r="A37" s="16"/>
      <c r="B37" s="16"/>
      <c r="C37" s="16"/>
      <c r="D37" s="16"/>
      <c r="E37" s="16"/>
      <c r="F37" s="16"/>
      <c r="G37" s="16"/>
      <c r="H37" s="16"/>
    </row>
    <row r="38" spans="1:8">
      <c r="A38" s="16"/>
      <c r="B38" s="16"/>
      <c r="C38" s="16"/>
      <c r="D38" s="16"/>
      <c r="E38" s="16"/>
      <c r="F38" s="16"/>
      <c r="G38" s="16"/>
      <c r="H38" s="16"/>
    </row>
    <row r="39" spans="1:8">
      <c r="A39" s="16"/>
      <c r="B39" s="16"/>
      <c r="C39" s="16"/>
      <c r="D39" s="16"/>
      <c r="E39" s="16"/>
      <c r="F39" s="16"/>
      <c r="G39" s="16"/>
      <c r="H39" s="16"/>
    </row>
    <row r="40" spans="1:8">
      <c r="A40" s="16"/>
      <c r="B40" s="16"/>
      <c r="C40" s="16"/>
      <c r="D40" s="16"/>
      <c r="E40" s="16"/>
      <c r="F40" s="16"/>
      <c r="G40" s="16"/>
      <c r="H40" s="16"/>
    </row>
    <row r="41" spans="1:8">
      <c r="A41" s="16"/>
      <c r="B41" s="16"/>
      <c r="C41" s="16"/>
      <c r="D41" s="16"/>
      <c r="E41" s="16"/>
      <c r="F41" s="16"/>
      <c r="G41" s="16"/>
      <c r="H41" s="16"/>
    </row>
    <row r="42" spans="1:8">
      <c r="A42" s="16"/>
      <c r="B42" s="16"/>
      <c r="C42" s="16"/>
      <c r="D42" s="16"/>
      <c r="E42" s="16"/>
      <c r="F42" s="16"/>
      <c r="G42" s="16"/>
      <c r="H42" s="16"/>
    </row>
    <row r="43" spans="1:8">
      <c r="A43" s="16"/>
      <c r="B43" s="16"/>
      <c r="C43" s="16"/>
      <c r="D43" s="16"/>
      <c r="E43" s="16"/>
      <c r="F43" s="16"/>
      <c r="G43" s="16"/>
      <c r="H43" s="16"/>
    </row>
    <row r="44" spans="1:8">
      <c r="A44" s="16"/>
      <c r="B44" s="16"/>
      <c r="C44" s="16"/>
      <c r="D44" s="16"/>
      <c r="E44" s="16"/>
      <c r="F44" s="16"/>
      <c r="G44" s="16"/>
      <c r="H44" s="16"/>
    </row>
    <row r="45" spans="1:8">
      <c r="A45" s="16"/>
      <c r="B45" s="16"/>
      <c r="C45" s="16"/>
      <c r="D45" s="16"/>
      <c r="E45" s="16"/>
      <c r="F45" s="16"/>
      <c r="G45" s="16"/>
      <c r="H45" s="16"/>
    </row>
    <row r="46" spans="1:8">
      <c r="A46" s="16"/>
      <c r="B46" s="16"/>
      <c r="C46" s="16"/>
      <c r="D46" s="16"/>
      <c r="E46" s="16"/>
      <c r="F46" s="16"/>
      <c r="G46" s="16"/>
      <c r="H46" s="16"/>
    </row>
    <row r="47" spans="1:8">
      <c r="A47" s="16"/>
      <c r="B47" s="16"/>
      <c r="C47" s="16"/>
      <c r="D47" s="16"/>
      <c r="E47" s="16"/>
      <c r="F47" s="16"/>
      <c r="G47" s="16"/>
      <c r="H47" s="16"/>
    </row>
    <row r="48" spans="1:8">
      <c r="A48" s="16"/>
      <c r="B48" s="16"/>
      <c r="C48" s="16"/>
      <c r="D48" s="16"/>
      <c r="E48" s="16"/>
      <c r="F48" s="16"/>
      <c r="G48" s="16"/>
      <c r="H48" s="16"/>
    </row>
    <row r="49" spans="1:8">
      <c r="A49" s="16"/>
      <c r="B49" s="16"/>
      <c r="C49" s="16"/>
      <c r="D49" s="16"/>
      <c r="E49" s="16"/>
      <c r="F49" s="16"/>
      <c r="G49" s="16"/>
      <c r="H49" s="16"/>
    </row>
    <row r="50" spans="1:8">
      <c r="A50" s="16"/>
      <c r="B50" s="16"/>
      <c r="C50" s="16"/>
      <c r="D50" s="16"/>
      <c r="E50" s="16"/>
      <c r="F50" s="16"/>
      <c r="G50" s="16"/>
      <c r="H50" s="16"/>
    </row>
    <row r="51" spans="1:8">
      <c r="A51" s="16"/>
      <c r="B51" s="16"/>
      <c r="C51" s="16"/>
      <c r="D51" s="16"/>
      <c r="E51" s="16"/>
      <c r="F51" s="16"/>
      <c r="G51" s="16"/>
      <c r="H51" s="16"/>
    </row>
    <row r="52" spans="1:8">
      <c r="A52" s="16"/>
      <c r="B52" s="16"/>
      <c r="C52" s="16"/>
      <c r="D52" s="16"/>
      <c r="E52" s="16"/>
      <c r="F52" s="16"/>
      <c r="G52" s="16"/>
      <c r="H52" s="16"/>
    </row>
    <row r="53" spans="1:8">
      <c r="A53" s="16"/>
      <c r="B53" s="16"/>
      <c r="C53" s="16"/>
      <c r="D53" s="16"/>
      <c r="E53" s="16"/>
      <c r="F53" s="16"/>
      <c r="G53" s="16"/>
      <c r="H53" s="16"/>
    </row>
    <row r="54" spans="1:8">
      <c r="A54" s="16"/>
      <c r="B54" s="16"/>
      <c r="C54" s="16"/>
      <c r="D54" s="16"/>
      <c r="E54" s="16"/>
      <c r="F54" s="16"/>
      <c r="G54" s="16"/>
      <c r="H54" s="16"/>
    </row>
    <row r="55" spans="1:8">
      <c r="A55" s="16"/>
      <c r="B55" s="16"/>
      <c r="C55" s="16"/>
      <c r="D55" s="16"/>
      <c r="E55" s="16"/>
      <c r="F55" s="16"/>
      <c r="G55" s="16"/>
      <c r="H55" s="16"/>
    </row>
    <row r="56" spans="1:8">
      <c r="A56" s="16"/>
      <c r="B56" s="16"/>
      <c r="C56" s="16"/>
      <c r="D56" s="16"/>
      <c r="E56" s="16"/>
      <c r="F56" s="16"/>
      <c r="G56" s="16"/>
      <c r="H56" s="16"/>
    </row>
    <row r="57" spans="1:8">
      <c r="A57" s="16"/>
      <c r="B57" s="16"/>
      <c r="C57" s="16"/>
      <c r="D57" s="16"/>
      <c r="E57" s="16"/>
      <c r="F57" s="16"/>
      <c r="G57" s="16"/>
      <c r="H57" s="16"/>
    </row>
    <row r="58" spans="1:8">
      <c r="A58" s="16"/>
      <c r="B58" s="16"/>
      <c r="C58" s="16"/>
      <c r="D58" s="16"/>
      <c r="E58" s="16"/>
      <c r="F58" s="16"/>
      <c r="G58" s="16"/>
      <c r="H58" s="16"/>
    </row>
    <row r="59" spans="1:8">
      <c r="A59" s="16"/>
      <c r="B59" s="16"/>
      <c r="C59" s="16"/>
      <c r="D59" s="16"/>
      <c r="E59" s="16"/>
      <c r="F59" s="16"/>
      <c r="G59" s="16"/>
      <c r="H59" s="16"/>
    </row>
    <row r="60" spans="1:8">
      <c r="A60" s="16"/>
      <c r="B60" s="16"/>
      <c r="C60" s="16"/>
      <c r="D60" s="16"/>
      <c r="E60" s="16"/>
      <c r="F60" s="16"/>
      <c r="G60" s="16"/>
      <c r="H60" s="16"/>
    </row>
    <row r="61" spans="1:8">
      <c r="A61" s="16"/>
      <c r="B61" s="16"/>
      <c r="C61" s="16"/>
      <c r="D61" s="16"/>
      <c r="E61" s="16"/>
      <c r="F61" s="16"/>
      <c r="G61" s="16"/>
      <c r="H61" s="16"/>
    </row>
    <row r="62" spans="1:8">
      <c r="A62" s="16"/>
      <c r="B62" s="16"/>
      <c r="C62" s="16"/>
      <c r="D62" s="16"/>
      <c r="E62" s="16"/>
      <c r="F62" s="16"/>
      <c r="G62" s="16"/>
      <c r="H62" s="16"/>
    </row>
    <row r="63" spans="1:8">
      <c r="A63" s="16"/>
      <c r="B63" s="16"/>
      <c r="C63" s="16"/>
      <c r="D63" s="16"/>
      <c r="E63" s="16"/>
      <c r="F63" s="16"/>
      <c r="G63" s="16"/>
      <c r="H63" s="16"/>
    </row>
    <row r="64" spans="1:8">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row r="72" spans="1:8">
      <c r="A72" s="16"/>
      <c r="B72" s="16"/>
      <c r="C72" s="16"/>
      <c r="D72" s="16"/>
      <c r="E72" s="16"/>
      <c r="F72" s="16"/>
      <c r="G72" s="16"/>
      <c r="H72" s="16"/>
    </row>
    <row r="73" spans="1:8">
      <c r="A73" s="16"/>
      <c r="B73" s="16"/>
      <c r="C73" s="16"/>
      <c r="D73" s="16"/>
      <c r="E73" s="16"/>
      <c r="F73" s="16"/>
      <c r="G73" s="16"/>
      <c r="H73" s="16"/>
    </row>
    <row r="74" spans="1:8">
      <c r="A74" s="16"/>
      <c r="B74" s="16"/>
      <c r="C74" s="16"/>
      <c r="D74" s="16"/>
      <c r="E74" s="16"/>
      <c r="F74" s="16"/>
      <c r="G74" s="16"/>
      <c r="H74" s="16"/>
    </row>
    <row r="75" spans="1:8">
      <c r="A75" s="16"/>
      <c r="B75" s="16"/>
      <c r="C75" s="16"/>
      <c r="D75" s="16"/>
      <c r="E75" s="16"/>
      <c r="F75" s="16"/>
      <c r="G75" s="16"/>
      <c r="H75" s="16"/>
    </row>
    <row r="76" spans="1:8">
      <c r="A76" s="16"/>
      <c r="B76" s="16"/>
      <c r="C76" s="16"/>
      <c r="D76" s="16"/>
      <c r="E76" s="16"/>
      <c r="F76" s="16"/>
      <c r="G76" s="16"/>
      <c r="H76" s="16"/>
    </row>
    <row r="77" spans="1:8">
      <c r="A77" s="16"/>
      <c r="B77" s="16"/>
      <c r="C77" s="16"/>
      <c r="D77" s="16"/>
      <c r="E77" s="16"/>
      <c r="F77" s="16"/>
      <c r="G77" s="16"/>
      <c r="H77" s="16"/>
    </row>
    <row r="78" spans="1:8">
      <c r="A78" s="16"/>
      <c r="B78" s="16"/>
      <c r="C78" s="16"/>
      <c r="D78" s="16"/>
      <c r="E78" s="16"/>
      <c r="F78" s="16"/>
      <c r="G78" s="16"/>
      <c r="H78" s="16"/>
    </row>
    <row r="79" spans="1:8">
      <c r="A79" s="16"/>
      <c r="B79" s="16"/>
      <c r="C79" s="16"/>
      <c r="D79" s="16"/>
      <c r="E79" s="16"/>
      <c r="F79" s="16"/>
      <c r="G79" s="16"/>
      <c r="H79" s="16"/>
    </row>
    <row r="80" spans="1:8">
      <c r="A80" s="16"/>
      <c r="B80" s="16"/>
      <c r="C80" s="16"/>
      <c r="D80" s="16"/>
      <c r="E80" s="16"/>
      <c r="F80" s="16"/>
      <c r="G80" s="16"/>
      <c r="H80" s="16"/>
    </row>
    <row r="81" spans="1:8">
      <c r="A81" s="16"/>
      <c r="B81" s="16"/>
      <c r="C81" s="16"/>
      <c r="D81" s="16"/>
      <c r="E81" s="16"/>
      <c r="F81" s="16"/>
      <c r="G81" s="16"/>
      <c r="H81" s="16"/>
    </row>
    <row r="82" spans="1:8">
      <c r="A82" s="16"/>
      <c r="B82" s="16"/>
      <c r="C82" s="16"/>
      <c r="D82" s="16"/>
      <c r="E82" s="16"/>
      <c r="F82" s="16"/>
      <c r="G82" s="16"/>
      <c r="H82" s="16"/>
    </row>
    <row r="83" spans="1:8">
      <c r="A83" s="16"/>
      <c r="B83" s="16"/>
      <c r="C83" s="16"/>
      <c r="D83" s="16"/>
      <c r="E83" s="16"/>
      <c r="F83" s="16"/>
      <c r="G83" s="16"/>
      <c r="H83" s="16"/>
    </row>
    <row r="84" spans="1:8">
      <c r="A84" s="16"/>
      <c r="B84" s="16"/>
      <c r="C84" s="16"/>
      <c r="D84" s="16"/>
      <c r="E84" s="16"/>
      <c r="F84" s="16"/>
      <c r="G84" s="16"/>
      <c r="H84" s="16"/>
    </row>
    <row r="85" spans="1:8">
      <c r="A85" s="16"/>
      <c r="B85" s="16"/>
      <c r="C85" s="16"/>
      <c r="D85" s="16"/>
      <c r="E85" s="16"/>
      <c r="F85" s="16"/>
      <c r="G85" s="16"/>
      <c r="H85" s="16"/>
    </row>
    <row r="86" spans="1:8">
      <c r="A86" s="16"/>
      <c r="B86" s="16"/>
      <c r="C86" s="16"/>
      <c r="D86" s="16"/>
      <c r="E86" s="16"/>
      <c r="F86" s="16"/>
      <c r="G86" s="16"/>
      <c r="H86" s="16"/>
    </row>
    <row r="87" spans="1:8">
      <c r="A87" s="16"/>
      <c r="B87" s="16"/>
      <c r="C87" s="16"/>
      <c r="D87" s="16"/>
      <c r="E87" s="16"/>
      <c r="F87" s="16"/>
      <c r="G87" s="16"/>
      <c r="H87" s="16"/>
    </row>
    <row r="88" spans="1:8">
      <c r="A88" s="16"/>
      <c r="B88" s="16"/>
      <c r="C88" s="16"/>
      <c r="D88" s="16"/>
      <c r="E88" s="16"/>
      <c r="F88" s="16"/>
      <c r="G88" s="16"/>
      <c r="H88" s="16"/>
    </row>
    <row r="89" spans="1:8">
      <c r="A89" s="16"/>
      <c r="B89" s="16"/>
      <c r="C89" s="16"/>
      <c r="D89" s="16"/>
      <c r="E89" s="16"/>
      <c r="F89" s="16"/>
      <c r="G89" s="16"/>
      <c r="H89" s="16"/>
    </row>
    <row r="90" spans="1:8">
      <c r="A90" s="16"/>
      <c r="B90" s="16"/>
      <c r="C90" s="16"/>
      <c r="D90" s="16"/>
      <c r="E90" s="16"/>
      <c r="F90" s="16"/>
      <c r="G90" s="16"/>
      <c r="H90" s="16"/>
    </row>
    <row r="91" spans="1:8">
      <c r="A91" s="16"/>
      <c r="B91" s="16"/>
      <c r="C91" s="16"/>
      <c r="D91" s="16"/>
      <c r="E91" s="16"/>
      <c r="F91" s="16"/>
      <c r="G91" s="16"/>
      <c r="H91" s="16"/>
    </row>
    <row r="92" spans="1:8">
      <c r="A92" s="16"/>
      <c r="B92" s="16"/>
      <c r="C92" s="16"/>
      <c r="D92" s="16"/>
      <c r="E92" s="16"/>
      <c r="F92" s="16"/>
      <c r="G92" s="16"/>
      <c r="H92" s="16"/>
    </row>
    <row r="93" spans="1:8">
      <c r="A93" s="16"/>
      <c r="B93" s="16"/>
      <c r="C93" s="16"/>
      <c r="D93" s="16"/>
      <c r="E93" s="16"/>
      <c r="F93" s="16"/>
      <c r="G93" s="16"/>
      <c r="H93" s="16"/>
    </row>
    <row r="94" spans="1:8">
      <c r="A94" s="16"/>
      <c r="B94" s="16"/>
      <c r="C94" s="16"/>
      <c r="D94" s="16"/>
      <c r="E94" s="16"/>
      <c r="F94" s="16"/>
      <c r="G94" s="16"/>
      <c r="H94" s="16"/>
    </row>
    <row r="95" spans="1:8">
      <c r="A95" s="16"/>
      <c r="B95" s="16"/>
      <c r="C95" s="16"/>
      <c r="D95" s="16"/>
      <c r="E95" s="16"/>
      <c r="F95" s="16"/>
      <c r="G95" s="16"/>
      <c r="H95" s="16"/>
    </row>
    <row r="96" spans="1:8">
      <c r="A96" s="16"/>
      <c r="B96" s="16"/>
      <c r="C96" s="16"/>
      <c r="D96" s="16"/>
      <c r="E96" s="16"/>
      <c r="F96" s="16"/>
      <c r="G96" s="16"/>
      <c r="H96" s="16"/>
    </row>
    <row r="97" spans="1:8">
      <c r="A97" s="16"/>
      <c r="B97" s="16"/>
      <c r="C97" s="16"/>
      <c r="D97" s="16"/>
      <c r="E97" s="16"/>
      <c r="F97" s="16"/>
      <c r="G97" s="16"/>
      <c r="H97" s="16"/>
    </row>
    <row r="98" spans="1:8">
      <c r="A98" s="16"/>
      <c r="B98" s="16"/>
      <c r="C98" s="16"/>
      <c r="D98" s="16"/>
      <c r="E98" s="16"/>
      <c r="F98" s="16"/>
      <c r="G98" s="16"/>
      <c r="H98" s="16"/>
    </row>
    <row r="99" spans="1:8">
      <c r="A99" s="16"/>
      <c r="B99" s="16"/>
      <c r="C99" s="16"/>
      <c r="D99" s="16"/>
      <c r="E99" s="16"/>
      <c r="F99" s="16"/>
      <c r="G99" s="16"/>
      <c r="H99" s="16"/>
    </row>
    <row r="100" spans="1:8">
      <c r="A100" s="16"/>
      <c r="B100" s="16"/>
      <c r="C100" s="16"/>
      <c r="D100" s="16"/>
      <c r="E100" s="16"/>
      <c r="F100" s="16"/>
      <c r="G100" s="16"/>
      <c r="H100" s="16"/>
    </row>
    <row r="101" spans="1:8">
      <c r="B101" s="16"/>
      <c r="C101" s="16"/>
      <c r="D101" s="16"/>
      <c r="E101" s="16"/>
      <c r="F101" s="16"/>
      <c r="G101" s="16"/>
      <c r="H101" s="1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2"/>
  <sheetViews>
    <sheetView zoomScale="76" zoomScaleNormal="76" workbookViewId="0">
      <selection activeCell="I14" sqref="I14"/>
    </sheetView>
  </sheetViews>
  <sheetFormatPr baseColWidth="10" defaultRowHeight="14.25"/>
  <cols>
    <col min="2" max="2" width="16.5" customWidth="1"/>
    <col min="3" max="3" width="15.875" customWidth="1"/>
    <col min="4" max="4" width="17.375" customWidth="1"/>
    <col min="5" max="5" width="17.625" customWidth="1"/>
  </cols>
  <sheetData>
    <row r="1" spans="1:17" ht="15">
      <c r="A1" s="15"/>
      <c r="B1" s="15"/>
      <c r="C1" s="15"/>
      <c r="D1" s="15"/>
      <c r="E1" s="15"/>
      <c r="F1" s="15"/>
      <c r="G1" s="15"/>
      <c r="H1" s="15"/>
    </row>
    <row r="2" spans="1:17" ht="43.15" customHeight="1">
      <c r="A2" s="16"/>
      <c r="B2" s="15" t="s">
        <v>184</v>
      </c>
      <c r="C2" s="15"/>
      <c r="D2" s="15"/>
      <c r="E2" s="15"/>
      <c r="F2" s="15"/>
      <c r="G2" s="15"/>
      <c r="H2" s="15"/>
    </row>
    <row r="3" spans="1:17" ht="78" customHeight="1">
      <c r="A3" s="16" t="s">
        <v>54</v>
      </c>
      <c r="B3" s="20" t="s">
        <v>20</v>
      </c>
      <c r="C3" s="20" t="s">
        <v>21</v>
      </c>
      <c r="D3" s="21" t="s">
        <v>22</v>
      </c>
      <c r="E3" s="20" t="s">
        <v>23</v>
      </c>
      <c r="F3" s="20" t="s">
        <v>24</v>
      </c>
      <c r="G3" s="20" t="s">
        <v>25</v>
      </c>
      <c r="H3" s="20" t="s">
        <v>26</v>
      </c>
      <c r="I3" s="20" t="s">
        <v>27</v>
      </c>
      <c r="J3" s="20" t="s">
        <v>28</v>
      </c>
      <c r="K3" s="20" t="s">
        <v>29</v>
      </c>
      <c r="L3" s="20" t="s">
        <v>30</v>
      </c>
      <c r="M3" s="20" t="s">
        <v>31</v>
      </c>
      <c r="N3" s="20" t="s">
        <v>32</v>
      </c>
      <c r="O3" s="20" t="s">
        <v>33</v>
      </c>
      <c r="P3" s="20" t="s">
        <v>34</v>
      </c>
      <c r="Q3" s="20" t="s">
        <v>35</v>
      </c>
    </row>
    <row r="4" spans="1:17">
      <c r="A4" s="4" t="s">
        <v>101</v>
      </c>
      <c r="B4" s="27">
        <f>+'Analyse resultats'!V94</f>
        <v>1</v>
      </c>
      <c r="C4" s="27">
        <f>+'Analyse resultats'!W94</f>
        <v>1</v>
      </c>
      <c r="D4" s="27">
        <f>+'Analyse resultats'!X94</f>
        <v>1</v>
      </c>
      <c r="E4" s="27">
        <f>+'Analyse resultats'!Y94</f>
        <v>1</v>
      </c>
      <c r="F4" s="27">
        <f>+'Analyse resultats'!Z94</f>
        <v>1</v>
      </c>
      <c r="G4" s="27">
        <f>+'Analyse resultats'!AA94</f>
        <v>1</v>
      </c>
      <c r="H4" s="27">
        <f>+'Analyse resultats'!AB94</f>
        <v>1</v>
      </c>
      <c r="I4" s="27">
        <f>+'Analyse resultats'!AC94</f>
        <v>1</v>
      </c>
      <c r="J4" s="27">
        <f>+'Analyse resultats'!AD94</f>
        <v>1</v>
      </c>
      <c r="K4" s="27">
        <f>+'Analyse resultats'!AE94</f>
        <v>1</v>
      </c>
      <c r="L4" s="27">
        <f>+'Analyse resultats'!AF94</f>
        <v>1</v>
      </c>
      <c r="M4" s="27">
        <f>+'Analyse resultats'!AG94</f>
        <v>1</v>
      </c>
      <c r="N4" s="27">
        <f>+'Analyse resultats'!AH94</f>
        <v>1</v>
      </c>
      <c r="O4" s="27">
        <f>+'Analyse resultats'!AI94</f>
        <v>1</v>
      </c>
      <c r="P4" s="27">
        <f>+'Analyse resultats'!AJ94</f>
        <v>1</v>
      </c>
      <c r="Q4" s="27">
        <f>+'Analyse resultats'!AK94</f>
        <v>1</v>
      </c>
    </row>
    <row r="5" spans="1:17">
      <c r="A5" s="25" t="s">
        <v>74</v>
      </c>
      <c r="B5" s="27">
        <f>+'Analyse resultats'!V95</f>
        <v>6</v>
      </c>
      <c r="C5" s="27">
        <f>+'Analyse resultats'!W95</f>
        <v>5</v>
      </c>
      <c r="D5" s="27">
        <f>+'Analyse resultats'!X95</f>
        <v>6</v>
      </c>
      <c r="E5" s="27">
        <f>+'Analyse resultats'!Y95</f>
        <v>3</v>
      </c>
      <c r="F5" s="27">
        <f>+'Analyse resultats'!Z95</f>
        <v>3</v>
      </c>
      <c r="G5" s="27">
        <f>+'Analyse resultats'!AA95</f>
        <v>3</v>
      </c>
      <c r="H5" s="27">
        <f>+'Analyse resultats'!AB95</f>
        <v>4</v>
      </c>
      <c r="I5" s="27">
        <f>+'Analyse resultats'!AC95</f>
        <v>2</v>
      </c>
      <c r="J5" s="27">
        <f>+'Analyse resultats'!AD95</f>
        <v>2</v>
      </c>
      <c r="K5" s="27">
        <f>+'Analyse resultats'!AE95</f>
        <v>6</v>
      </c>
      <c r="L5" s="27">
        <f>+'Analyse resultats'!AF95</f>
        <v>6</v>
      </c>
      <c r="M5" s="27">
        <f>+'Analyse resultats'!AG95</f>
        <v>6</v>
      </c>
      <c r="N5" s="27">
        <f>+'Analyse resultats'!AH95</f>
        <v>4</v>
      </c>
      <c r="O5" s="27">
        <f>+'Analyse resultats'!AI95</f>
        <v>5</v>
      </c>
      <c r="P5" s="27">
        <f>+'Analyse resultats'!AJ95</f>
        <v>6</v>
      </c>
      <c r="Q5" s="27">
        <f>+'Analyse resultats'!AK95</f>
        <v>6</v>
      </c>
    </row>
    <row r="6" spans="1:17" ht="14.45" customHeight="1">
      <c r="A6" s="4" t="s">
        <v>42</v>
      </c>
      <c r="B6" s="27">
        <f>+'Analyse resultats'!V96</f>
        <v>2</v>
      </c>
      <c r="C6" s="27">
        <f>+'Analyse resultats'!W96</f>
        <v>0</v>
      </c>
      <c r="D6" s="27">
        <f>+'Analyse resultats'!X96</f>
        <v>0</v>
      </c>
      <c r="E6" s="27">
        <f>+'Analyse resultats'!Y96</f>
        <v>2</v>
      </c>
      <c r="F6" s="27">
        <f>+'Analyse resultats'!Z96</f>
        <v>2</v>
      </c>
      <c r="G6" s="27">
        <f>+'Analyse resultats'!AA96</f>
        <v>2</v>
      </c>
      <c r="H6" s="27">
        <f>+'Analyse resultats'!AB96</f>
        <v>2</v>
      </c>
      <c r="I6" s="27">
        <f>+'Analyse resultats'!AC96</f>
        <v>2</v>
      </c>
      <c r="J6" s="27">
        <f>+'Analyse resultats'!AD96</f>
        <v>2</v>
      </c>
      <c r="K6" s="27">
        <f>+'Analyse resultats'!AE96</f>
        <v>2</v>
      </c>
      <c r="L6" s="27">
        <f>+'Analyse resultats'!AF96</f>
        <v>2</v>
      </c>
      <c r="M6" s="27">
        <f>+'Analyse resultats'!AG96</f>
        <v>2</v>
      </c>
      <c r="N6" s="27">
        <f>+'Analyse resultats'!AH96</f>
        <v>2</v>
      </c>
      <c r="O6" s="27">
        <f>+'Analyse resultats'!AI96</f>
        <v>2</v>
      </c>
      <c r="P6" s="27">
        <f>+'Analyse resultats'!AJ96</f>
        <v>2</v>
      </c>
      <c r="Q6" s="27">
        <f>+'Analyse resultats'!AK96</f>
        <v>2</v>
      </c>
    </row>
    <row r="7" spans="1:17">
      <c r="A7" s="25" t="s">
        <v>137</v>
      </c>
      <c r="B7" s="27">
        <f>+'Analyse resultats'!V97</f>
        <v>0</v>
      </c>
      <c r="C7" s="27">
        <f>+'Analyse resultats'!W97</f>
        <v>0</v>
      </c>
      <c r="D7" s="27">
        <f>+'Analyse resultats'!X97</f>
        <v>0</v>
      </c>
      <c r="E7" s="27">
        <f>+'Analyse resultats'!Y97</f>
        <v>0</v>
      </c>
      <c r="F7" s="27">
        <f>+'Analyse resultats'!Z97</f>
        <v>0</v>
      </c>
      <c r="G7" s="27">
        <f>+'Analyse resultats'!AA97</f>
        <v>1</v>
      </c>
      <c r="H7" s="27">
        <f>+'Analyse resultats'!AB97</f>
        <v>1</v>
      </c>
      <c r="I7" s="27">
        <f>+'Analyse resultats'!AC97</f>
        <v>1</v>
      </c>
      <c r="J7" s="27">
        <f>+'Analyse resultats'!AD97</f>
        <v>1</v>
      </c>
      <c r="K7" s="27">
        <f>+'Analyse resultats'!AE97</f>
        <v>1</v>
      </c>
      <c r="L7" s="27">
        <f>+'Analyse resultats'!AF97</f>
        <v>1</v>
      </c>
      <c r="M7" s="27">
        <f>+'Analyse resultats'!AG97</f>
        <v>1</v>
      </c>
      <c r="N7" s="27">
        <f>+'Analyse resultats'!AH97</f>
        <v>1</v>
      </c>
      <c r="O7" s="27">
        <f>+'Analyse resultats'!AI97</f>
        <v>1</v>
      </c>
      <c r="P7" s="27">
        <f>+'Analyse resultats'!AJ97</f>
        <v>1</v>
      </c>
      <c r="Q7" s="27">
        <f>+'Analyse resultats'!AK97</f>
        <v>1</v>
      </c>
    </row>
    <row r="8" spans="1:17">
      <c r="A8" s="4" t="s">
        <v>58</v>
      </c>
      <c r="B8" s="27">
        <f>+'Analyse resultats'!V98</f>
        <v>2</v>
      </c>
      <c r="C8" s="27">
        <f>+'Analyse resultats'!W98</f>
        <v>2</v>
      </c>
      <c r="D8" s="27">
        <f>+'Analyse resultats'!X98</f>
        <v>2</v>
      </c>
      <c r="E8" s="27">
        <f>+'Analyse resultats'!Y98</f>
        <v>2</v>
      </c>
      <c r="F8" s="27">
        <f>+'Analyse resultats'!Z98</f>
        <v>2</v>
      </c>
      <c r="G8" s="27">
        <f>+'Analyse resultats'!AA98</f>
        <v>3</v>
      </c>
      <c r="H8" s="27">
        <f>+'Analyse resultats'!AB98</f>
        <v>3</v>
      </c>
      <c r="I8" s="27">
        <f>+'Analyse resultats'!AC98</f>
        <v>3</v>
      </c>
      <c r="J8" s="27">
        <f>+'Analyse resultats'!AD98</f>
        <v>3</v>
      </c>
      <c r="K8" s="27">
        <f>+'Analyse resultats'!AE98</f>
        <v>3</v>
      </c>
      <c r="L8" s="27">
        <f>+'Analyse resultats'!AF98</f>
        <v>3</v>
      </c>
      <c r="M8" s="27">
        <f>+'Analyse resultats'!AG98</f>
        <v>3</v>
      </c>
      <c r="N8" s="27">
        <f>+'Analyse resultats'!AH98</f>
        <v>3</v>
      </c>
      <c r="O8" s="27">
        <f>+'Analyse resultats'!AI98</f>
        <v>3</v>
      </c>
      <c r="P8" s="27">
        <f>+'Analyse resultats'!AJ98</f>
        <v>3</v>
      </c>
      <c r="Q8" s="27">
        <f>+'Analyse resultats'!AK98</f>
        <v>3</v>
      </c>
    </row>
    <row r="9" spans="1:17">
      <c r="A9" s="25" t="s">
        <v>168</v>
      </c>
      <c r="B9" s="27">
        <f>+'Analyse resultats'!V99</f>
        <v>0</v>
      </c>
      <c r="C9" s="27">
        <f>+'Analyse resultats'!W99</f>
        <v>0</v>
      </c>
      <c r="D9" s="27">
        <f>+'Analyse resultats'!X99</f>
        <v>0</v>
      </c>
      <c r="E9" s="27">
        <f>+'Analyse resultats'!Y99</f>
        <v>0</v>
      </c>
      <c r="F9" s="27">
        <f>+'Analyse resultats'!Z99</f>
        <v>0</v>
      </c>
      <c r="G9" s="27">
        <f>+'Analyse resultats'!AA99</f>
        <v>0</v>
      </c>
      <c r="H9" s="27">
        <f>+'Analyse resultats'!AB99</f>
        <v>0</v>
      </c>
      <c r="I9" s="27">
        <f>+'Analyse resultats'!AC99</f>
        <v>0</v>
      </c>
      <c r="J9" s="27">
        <f>+'Analyse resultats'!AD99</f>
        <v>0</v>
      </c>
      <c r="K9" s="27">
        <f>+'Analyse resultats'!AE99</f>
        <v>0</v>
      </c>
      <c r="L9" s="27">
        <f>+'Analyse resultats'!AF99</f>
        <v>0</v>
      </c>
      <c r="M9" s="27">
        <f>+'Analyse resultats'!AG99</f>
        <v>0</v>
      </c>
      <c r="N9" s="27">
        <f>+'Analyse resultats'!AH99</f>
        <v>0</v>
      </c>
      <c r="O9" s="27">
        <f>+'Analyse resultats'!AI99</f>
        <v>0</v>
      </c>
      <c r="P9" s="27">
        <f>+'Analyse resultats'!AJ99</f>
        <v>0</v>
      </c>
      <c r="Q9" s="27">
        <f>+'Analyse resultats'!AK99</f>
        <v>0</v>
      </c>
    </row>
    <row r="10" spans="1:17">
      <c r="A10" s="25" t="s">
        <v>180</v>
      </c>
      <c r="B10" s="27">
        <f>+'Analyse resultats'!V100</f>
        <v>0</v>
      </c>
      <c r="C10" s="27">
        <f>+'Analyse resultats'!W100</f>
        <v>0</v>
      </c>
      <c r="D10" s="27">
        <f>+'Analyse resultats'!X100</f>
        <v>0</v>
      </c>
      <c r="E10" s="27">
        <f>+'Analyse resultats'!Y100</f>
        <v>0</v>
      </c>
      <c r="F10" s="27">
        <f>+'Analyse resultats'!Z100</f>
        <v>0</v>
      </c>
      <c r="G10" s="27">
        <f>+'Analyse resultats'!AA100</f>
        <v>0</v>
      </c>
      <c r="H10" s="27">
        <f>+'Analyse resultats'!AB100</f>
        <v>0</v>
      </c>
      <c r="I10" s="27">
        <f>+'Analyse resultats'!AC100</f>
        <v>0</v>
      </c>
      <c r="J10" s="27">
        <f>+'Analyse resultats'!AD100</f>
        <v>0</v>
      </c>
      <c r="K10" s="27">
        <f>+'Analyse resultats'!AE100</f>
        <v>0</v>
      </c>
      <c r="L10" s="27">
        <f>+'Analyse resultats'!AF100</f>
        <v>0</v>
      </c>
      <c r="M10" s="27">
        <f>+'Analyse resultats'!AG100</f>
        <v>0</v>
      </c>
      <c r="N10" s="27">
        <f>+'Analyse resultats'!AH100</f>
        <v>0</v>
      </c>
      <c r="O10" s="27">
        <f>+'Analyse resultats'!AI100</f>
        <v>0</v>
      </c>
      <c r="P10" s="27">
        <f>+'Analyse resultats'!AJ100</f>
        <v>0</v>
      </c>
      <c r="Q10" s="27">
        <f>+'Analyse resultats'!AK100</f>
        <v>0</v>
      </c>
    </row>
    <row r="11" spans="1:17">
      <c r="A11" s="16"/>
      <c r="B11" s="16"/>
      <c r="C11" s="16"/>
      <c r="D11" s="16"/>
      <c r="E11" s="16"/>
      <c r="F11" s="16"/>
      <c r="G11" s="16"/>
      <c r="H11" s="16"/>
    </row>
    <row r="12" spans="1:17" ht="14.45" customHeight="1">
      <c r="A12" s="16"/>
      <c r="B12" s="16"/>
      <c r="C12" s="16"/>
      <c r="D12" s="16"/>
      <c r="E12" s="16"/>
      <c r="F12" s="16"/>
      <c r="G12" s="16"/>
      <c r="H12" s="16"/>
    </row>
    <row r="13" spans="1:17">
      <c r="A13" s="16"/>
      <c r="B13" s="16"/>
      <c r="C13" s="16"/>
      <c r="D13" s="16"/>
      <c r="E13" s="16"/>
      <c r="F13" s="16"/>
      <c r="G13" s="16"/>
      <c r="H13" s="16"/>
    </row>
    <row r="14" spans="1:17">
      <c r="A14" s="16"/>
      <c r="B14" s="16"/>
      <c r="C14" s="16"/>
      <c r="D14" s="16"/>
      <c r="E14" s="16"/>
      <c r="F14" s="16"/>
      <c r="G14" s="16"/>
      <c r="H14" s="16"/>
    </row>
    <row r="15" spans="1:17">
      <c r="A15" s="16"/>
      <c r="B15" s="16"/>
      <c r="C15" s="16"/>
      <c r="D15" s="16"/>
      <c r="E15" s="16"/>
      <c r="F15" s="16"/>
      <c r="G15" s="16"/>
      <c r="H15" s="16"/>
    </row>
    <row r="16" spans="1:17">
      <c r="A16" s="16"/>
      <c r="B16" s="16"/>
      <c r="C16" s="16"/>
      <c r="D16" s="16"/>
      <c r="E16" s="16"/>
      <c r="F16" s="16"/>
      <c r="G16" s="16"/>
      <c r="H16" s="16"/>
    </row>
    <row r="17" spans="1:8">
      <c r="A17" s="16"/>
      <c r="B17" s="16"/>
      <c r="C17" s="16"/>
      <c r="D17" s="16"/>
      <c r="E17" s="16"/>
      <c r="F17" s="16"/>
      <c r="G17" s="16"/>
      <c r="H17" s="16"/>
    </row>
    <row r="18" spans="1:8">
      <c r="A18" s="16"/>
      <c r="B18" s="16"/>
      <c r="C18" s="16"/>
      <c r="D18" s="16"/>
      <c r="E18" s="16"/>
      <c r="F18" s="16"/>
      <c r="G18" s="16"/>
      <c r="H18" s="16"/>
    </row>
    <row r="19" spans="1:8">
      <c r="A19" s="16"/>
      <c r="B19" s="16"/>
      <c r="C19" s="16"/>
      <c r="D19" s="16"/>
      <c r="E19" s="16"/>
      <c r="F19" s="16"/>
      <c r="G19" s="16"/>
      <c r="H19" s="16"/>
    </row>
    <row r="20" spans="1:8">
      <c r="A20" s="16"/>
      <c r="B20" s="16"/>
      <c r="C20" s="16"/>
      <c r="D20" s="16"/>
      <c r="E20" s="16"/>
      <c r="F20" s="16"/>
      <c r="G20" s="16"/>
      <c r="H20" s="16"/>
    </row>
    <row r="21" spans="1:8">
      <c r="A21" s="16"/>
      <c r="B21" s="16"/>
      <c r="C21" s="16"/>
      <c r="D21" s="16"/>
      <c r="E21" s="16"/>
      <c r="F21" s="16"/>
      <c r="G21" s="16"/>
      <c r="H21" s="16"/>
    </row>
    <row r="22" spans="1:8">
      <c r="A22" s="16"/>
      <c r="B22" s="16"/>
      <c r="C22" s="16"/>
      <c r="D22" s="16"/>
      <c r="E22" s="16"/>
      <c r="F22" s="16"/>
      <c r="G22" s="16"/>
      <c r="H22" s="16"/>
    </row>
    <row r="23" spans="1:8">
      <c r="A23" s="16"/>
      <c r="B23" s="16"/>
      <c r="C23" s="16"/>
      <c r="D23" s="16"/>
      <c r="E23" s="16"/>
      <c r="F23" s="16"/>
      <c r="G23" s="16"/>
      <c r="H23" s="16"/>
    </row>
    <row r="24" spans="1:8">
      <c r="A24" s="16"/>
      <c r="B24" s="16"/>
      <c r="C24" s="16"/>
      <c r="D24" s="16"/>
      <c r="E24" s="16"/>
      <c r="F24" s="16"/>
      <c r="G24" s="16"/>
      <c r="H24" s="16"/>
    </row>
    <row r="25" spans="1:8">
      <c r="A25" s="16"/>
      <c r="B25" s="16"/>
      <c r="C25" s="16"/>
      <c r="D25" s="16"/>
      <c r="E25" s="16"/>
      <c r="F25" s="16"/>
      <c r="G25" s="16"/>
      <c r="H25" s="16"/>
    </row>
    <row r="26" spans="1:8">
      <c r="A26" s="16"/>
      <c r="B26" s="16"/>
      <c r="C26" s="16"/>
      <c r="D26" s="16"/>
      <c r="E26" s="16"/>
      <c r="F26" s="16"/>
      <c r="G26" s="16"/>
      <c r="H26" s="16"/>
    </row>
    <row r="27" spans="1:8">
      <c r="A27" s="16"/>
      <c r="B27" s="16"/>
      <c r="C27" s="16"/>
      <c r="D27" s="16"/>
      <c r="E27" s="16"/>
      <c r="F27" s="16"/>
      <c r="G27" s="16"/>
      <c r="H27" s="16"/>
    </row>
    <row r="28" spans="1:8">
      <c r="A28" s="16"/>
      <c r="B28" s="16"/>
      <c r="C28" s="16"/>
      <c r="D28" s="16"/>
      <c r="E28" s="16"/>
      <c r="F28" s="16"/>
      <c r="G28" s="16"/>
      <c r="H28" s="16"/>
    </row>
    <row r="29" spans="1:8">
      <c r="A29" s="16"/>
      <c r="B29" s="16"/>
      <c r="C29" s="16"/>
      <c r="D29" s="16"/>
      <c r="E29" s="16"/>
      <c r="F29" s="16"/>
      <c r="G29" s="16"/>
      <c r="H29" s="16"/>
    </row>
    <row r="30" spans="1:8">
      <c r="A30" s="16"/>
      <c r="B30" s="16"/>
      <c r="C30" s="16"/>
      <c r="D30" s="16"/>
      <c r="E30" s="16"/>
      <c r="F30" s="16"/>
      <c r="G30" s="16"/>
      <c r="H30" s="16"/>
    </row>
    <row r="31" spans="1:8">
      <c r="A31" s="16"/>
      <c r="B31" s="16"/>
      <c r="C31" s="16"/>
      <c r="D31" s="16"/>
      <c r="E31" s="16"/>
      <c r="F31" s="16"/>
      <c r="G31" s="16"/>
      <c r="H31" s="16"/>
    </row>
    <row r="32" spans="1:8">
      <c r="A32" s="16"/>
      <c r="B32" s="16"/>
      <c r="C32" s="16"/>
      <c r="D32" s="16"/>
      <c r="E32" s="16"/>
      <c r="F32" s="16"/>
      <c r="G32" s="16"/>
      <c r="H32" s="16"/>
    </row>
    <row r="33" spans="1:8">
      <c r="A33" s="16"/>
      <c r="B33" s="16"/>
      <c r="C33" s="16"/>
      <c r="D33" s="16"/>
      <c r="E33" s="16"/>
      <c r="F33" s="16"/>
      <c r="G33" s="16"/>
      <c r="H33" s="16"/>
    </row>
    <row r="34" spans="1:8">
      <c r="A34" s="16"/>
      <c r="B34" s="16"/>
      <c r="C34" s="16"/>
      <c r="D34" s="16"/>
      <c r="E34" s="16"/>
      <c r="F34" s="16"/>
      <c r="G34" s="16"/>
      <c r="H34" s="16"/>
    </row>
    <row r="35" spans="1:8">
      <c r="A35" s="16"/>
      <c r="B35" s="16"/>
      <c r="C35" s="16"/>
      <c r="D35" s="16"/>
      <c r="E35" s="16"/>
      <c r="F35" s="16"/>
      <c r="G35" s="16"/>
      <c r="H35" s="16"/>
    </row>
    <row r="36" spans="1:8">
      <c r="A36" s="16"/>
      <c r="B36" s="16"/>
      <c r="C36" s="16"/>
      <c r="D36" s="16"/>
      <c r="E36" s="16"/>
      <c r="F36" s="16"/>
      <c r="G36" s="16"/>
      <c r="H36" s="16"/>
    </row>
    <row r="37" spans="1:8">
      <c r="A37" s="16"/>
      <c r="B37" s="16"/>
      <c r="C37" s="16"/>
      <c r="D37" s="16"/>
      <c r="E37" s="16"/>
      <c r="F37" s="16"/>
      <c r="G37" s="16"/>
      <c r="H37" s="16"/>
    </row>
    <row r="38" spans="1:8">
      <c r="A38" s="16"/>
      <c r="B38" s="16"/>
      <c r="C38" s="16"/>
      <c r="D38" s="16"/>
      <c r="E38" s="16"/>
      <c r="F38" s="16"/>
      <c r="G38" s="16"/>
      <c r="H38" s="16"/>
    </row>
    <row r="39" spans="1:8">
      <c r="A39" s="16"/>
      <c r="B39" s="16"/>
      <c r="C39" s="16"/>
      <c r="D39" s="16"/>
      <c r="E39" s="16"/>
      <c r="F39" s="16"/>
      <c r="G39" s="16"/>
      <c r="H39" s="16"/>
    </row>
    <row r="40" spans="1:8">
      <c r="A40" s="16"/>
      <c r="B40" s="16"/>
      <c r="C40" s="16"/>
      <c r="D40" s="16"/>
      <c r="E40" s="16"/>
      <c r="F40" s="16"/>
      <c r="G40" s="16"/>
      <c r="H40" s="16"/>
    </row>
    <row r="41" spans="1:8">
      <c r="A41" s="16"/>
      <c r="B41" s="16"/>
      <c r="C41" s="16"/>
      <c r="D41" s="16"/>
      <c r="E41" s="16"/>
      <c r="F41" s="16"/>
      <c r="G41" s="16"/>
      <c r="H41" s="16"/>
    </row>
    <row r="42" spans="1:8">
      <c r="A42" s="16"/>
      <c r="B42" s="16"/>
      <c r="C42" s="16"/>
      <c r="D42" s="16"/>
      <c r="E42" s="16"/>
      <c r="F42" s="16"/>
      <c r="G42" s="16"/>
      <c r="H42" s="16"/>
    </row>
    <row r="43" spans="1:8">
      <c r="A43" s="16"/>
      <c r="B43" s="16"/>
      <c r="C43" s="16"/>
      <c r="D43" s="16"/>
      <c r="E43" s="16"/>
      <c r="F43" s="16"/>
      <c r="G43" s="16"/>
      <c r="H43" s="16"/>
    </row>
    <row r="44" spans="1:8">
      <c r="A44" s="16"/>
      <c r="B44" s="16"/>
      <c r="C44" s="16"/>
      <c r="D44" s="16"/>
      <c r="E44" s="16"/>
      <c r="F44" s="16"/>
      <c r="G44" s="16"/>
      <c r="H44" s="16"/>
    </row>
    <row r="45" spans="1:8">
      <c r="A45" s="16"/>
      <c r="B45" s="16"/>
      <c r="C45" s="16"/>
      <c r="D45" s="16"/>
      <c r="E45" s="16"/>
      <c r="F45" s="16"/>
      <c r="G45" s="16"/>
      <c r="H45" s="16"/>
    </row>
    <row r="46" spans="1:8">
      <c r="A46" s="16"/>
      <c r="B46" s="16"/>
      <c r="C46" s="16"/>
      <c r="D46" s="16"/>
      <c r="E46" s="16"/>
      <c r="F46" s="16"/>
      <c r="G46" s="16"/>
      <c r="H46" s="16"/>
    </row>
    <row r="47" spans="1:8">
      <c r="A47" s="16"/>
      <c r="B47" s="16"/>
      <c r="C47" s="16"/>
      <c r="D47" s="16"/>
      <c r="E47" s="16"/>
      <c r="F47" s="16"/>
      <c r="G47" s="16"/>
      <c r="H47" s="16"/>
    </row>
    <row r="48" spans="1:8">
      <c r="A48" s="16"/>
      <c r="B48" s="16"/>
      <c r="C48" s="16"/>
      <c r="D48" s="16"/>
      <c r="E48" s="16"/>
      <c r="F48" s="16"/>
      <c r="G48" s="16"/>
      <c r="H48" s="16"/>
    </row>
    <row r="49" spans="1:8">
      <c r="A49" s="16"/>
      <c r="B49" s="16"/>
      <c r="C49" s="16"/>
      <c r="D49" s="16"/>
      <c r="E49" s="16"/>
      <c r="F49" s="16"/>
      <c r="G49" s="16"/>
      <c r="H49" s="16"/>
    </row>
    <row r="50" spans="1:8">
      <c r="A50" s="16"/>
      <c r="B50" s="16"/>
      <c r="C50" s="16"/>
      <c r="D50" s="16"/>
      <c r="E50" s="16"/>
      <c r="F50" s="16"/>
      <c r="G50" s="16"/>
      <c r="H50" s="16"/>
    </row>
    <row r="51" spans="1:8">
      <c r="A51" s="16"/>
      <c r="B51" s="16"/>
      <c r="C51" s="16"/>
      <c r="D51" s="16"/>
      <c r="E51" s="16"/>
      <c r="F51" s="16"/>
      <c r="G51" s="16"/>
      <c r="H51" s="16"/>
    </row>
    <row r="52" spans="1:8">
      <c r="A52" s="16"/>
      <c r="B52" s="16"/>
      <c r="C52" s="16"/>
      <c r="D52" s="16"/>
      <c r="E52" s="16"/>
      <c r="F52" s="16"/>
      <c r="G52" s="16"/>
      <c r="H52" s="16"/>
    </row>
    <row r="53" spans="1:8">
      <c r="A53" s="16"/>
      <c r="B53" s="16"/>
      <c r="C53" s="16"/>
      <c r="D53" s="16"/>
      <c r="E53" s="16"/>
      <c r="F53" s="16"/>
      <c r="G53" s="16"/>
      <c r="H53" s="16"/>
    </row>
    <row r="54" spans="1:8">
      <c r="A54" s="16"/>
      <c r="B54" s="16"/>
      <c r="C54" s="16"/>
      <c r="D54" s="16"/>
      <c r="E54" s="16"/>
      <c r="F54" s="16"/>
      <c r="G54" s="16"/>
      <c r="H54" s="16"/>
    </row>
    <row r="55" spans="1:8">
      <c r="A55" s="16"/>
      <c r="B55" s="16"/>
      <c r="C55" s="16"/>
      <c r="D55" s="16"/>
      <c r="E55" s="16"/>
      <c r="F55" s="16"/>
      <c r="G55" s="16"/>
      <c r="H55" s="16"/>
    </row>
    <row r="56" spans="1:8">
      <c r="A56" s="16"/>
      <c r="B56" s="16"/>
      <c r="C56" s="16"/>
      <c r="D56" s="16"/>
      <c r="E56" s="16"/>
      <c r="F56" s="16"/>
      <c r="G56" s="16"/>
      <c r="H56" s="16"/>
    </row>
    <row r="57" spans="1:8">
      <c r="A57" s="16"/>
      <c r="B57" s="16"/>
      <c r="C57" s="16"/>
      <c r="D57" s="16"/>
      <c r="E57" s="16"/>
      <c r="F57" s="16"/>
      <c r="G57" s="16"/>
      <c r="H57" s="16"/>
    </row>
    <row r="58" spans="1:8">
      <c r="A58" s="16"/>
      <c r="B58" s="16"/>
      <c r="C58" s="16"/>
      <c r="D58" s="16"/>
      <c r="E58" s="16"/>
      <c r="F58" s="16"/>
      <c r="G58" s="16"/>
      <c r="H58" s="16"/>
    </row>
    <row r="59" spans="1:8">
      <c r="A59" s="16"/>
      <c r="B59" s="16"/>
      <c r="C59" s="16"/>
      <c r="D59" s="16"/>
      <c r="E59" s="16"/>
      <c r="F59" s="16"/>
      <c r="G59" s="16"/>
      <c r="H59" s="16"/>
    </row>
    <row r="60" spans="1:8">
      <c r="A60" s="16"/>
      <c r="B60" s="16"/>
      <c r="C60" s="16"/>
      <c r="D60" s="16"/>
      <c r="E60" s="16"/>
      <c r="F60" s="16"/>
      <c r="G60" s="16"/>
      <c r="H60" s="16"/>
    </row>
    <row r="61" spans="1:8">
      <c r="A61" s="16"/>
      <c r="B61" s="16"/>
      <c r="C61" s="16"/>
      <c r="D61" s="16"/>
      <c r="E61" s="16"/>
      <c r="F61" s="16"/>
      <c r="G61" s="16"/>
      <c r="H61" s="16"/>
    </row>
    <row r="62" spans="1:8">
      <c r="A62" s="16"/>
      <c r="B62" s="16"/>
      <c r="C62" s="16"/>
      <c r="D62" s="16"/>
      <c r="E62" s="16"/>
      <c r="F62" s="16"/>
      <c r="G62" s="16"/>
      <c r="H62" s="16"/>
    </row>
    <row r="63" spans="1:8">
      <c r="A63" s="16"/>
      <c r="B63" s="16"/>
      <c r="C63" s="16"/>
      <c r="D63" s="16"/>
      <c r="E63" s="16"/>
      <c r="F63" s="16"/>
      <c r="G63" s="16"/>
      <c r="H63" s="16"/>
    </row>
    <row r="64" spans="1:8">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row r="72" spans="1:8">
      <c r="A72" s="16"/>
      <c r="B72" s="16"/>
      <c r="C72" s="16"/>
      <c r="D72" s="16"/>
      <c r="E72" s="16"/>
      <c r="F72" s="16"/>
      <c r="G72" s="16"/>
      <c r="H72" s="16"/>
    </row>
    <row r="73" spans="1:8">
      <c r="A73" s="16"/>
      <c r="B73" s="16"/>
      <c r="C73" s="16"/>
      <c r="D73" s="16"/>
      <c r="E73" s="16"/>
      <c r="F73" s="16"/>
      <c r="G73" s="16"/>
      <c r="H73" s="16"/>
    </row>
    <row r="74" spans="1:8">
      <c r="A74" s="16"/>
      <c r="B74" s="16"/>
      <c r="C74" s="16"/>
      <c r="D74" s="16"/>
      <c r="E74" s="16"/>
      <c r="F74" s="16"/>
      <c r="G74" s="16"/>
      <c r="H74" s="16"/>
    </row>
    <row r="75" spans="1:8">
      <c r="A75" s="16"/>
      <c r="B75" s="16"/>
      <c r="C75" s="16"/>
      <c r="D75" s="16"/>
      <c r="E75" s="16"/>
      <c r="F75" s="16"/>
      <c r="G75" s="16"/>
      <c r="H75" s="16"/>
    </row>
    <row r="76" spans="1:8">
      <c r="A76" s="16"/>
      <c r="B76" s="16"/>
      <c r="C76" s="16"/>
      <c r="D76" s="16"/>
      <c r="E76" s="16"/>
      <c r="F76" s="16"/>
      <c r="G76" s="16"/>
      <c r="H76" s="16"/>
    </row>
    <row r="77" spans="1:8">
      <c r="A77" s="16"/>
      <c r="B77" s="16"/>
      <c r="C77" s="16"/>
      <c r="D77" s="16"/>
      <c r="E77" s="16"/>
      <c r="F77" s="16"/>
      <c r="G77" s="16"/>
      <c r="H77" s="16"/>
    </row>
    <row r="78" spans="1:8">
      <c r="A78" s="16"/>
      <c r="B78" s="16"/>
      <c r="C78" s="16"/>
      <c r="D78" s="16"/>
      <c r="E78" s="16"/>
      <c r="F78" s="16"/>
      <c r="G78" s="16"/>
      <c r="H78" s="16"/>
    </row>
    <row r="79" spans="1:8">
      <c r="A79" s="16"/>
      <c r="B79" s="16"/>
      <c r="C79" s="16"/>
      <c r="D79" s="16"/>
      <c r="E79" s="16"/>
      <c r="F79" s="16"/>
      <c r="G79" s="16"/>
      <c r="H79" s="16"/>
    </row>
    <row r="80" spans="1:8">
      <c r="A80" s="16"/>
      <c r="B80" s="16"/>
      <c r="C80" s="16"/>
      <c r="D80" s="16"/>
      <c r="E80" s="16"/>
      <c r="F80" s="16"/>
      <c r="G80" s="16"/>
      <c r="H80" s="16"/>
    </row>
    <row r="81" spans="1:8">
      <c r="A81" s="16"/>
      <c r="B81" s="16"/>
      <c r="C81" s="16"/>
      <c r="D81" s="16"/>
      <c r="E81" s="16"/>
      <c r="F81" s="16"/>
      <c r="G81" s="16"/>
      <c r="H81" s="16"/>
    </row>
    <row r="82" spans="1:8">
      <c r="A82" s="16"/>
      <c r="B82" s="16"/>
      <c r="C82" s="16"/>
      <c r="D82" s="16"/>
      <c r="E82" s="16"/>
      <c r="F82" s="16"/>
      <c r="G82" s="16"/>
      <c r="H82" s="16"/>
    </row>
    <row r="83" spans="1:8">
      <c r="A83" s="16"/>
      <c r="B83" s="16"/>
      <c r="C83" s="16"/>
      <c r="D83" s="16"/>
      <c r="E83" s="16"/>
      <c r="F83" s="16"/>
      <c r="G83" s="16"/>
      <c r="H83" s="16"/>
    </row>
    <row r="84" spans="1:8">
      <c r="A84" s="16"/>
      <c r="B84" s="16"/>
      <c r="C84" s="16"/>
      <c r="D84" s="16"/>
      <c r="E84" s="16"/>
      <c r="F84" s="16"/>
      <c r="G84" s="16"/>
      <c r="H84" s="16"/>
    </row>
    <row r="85" spans="1:8">
      <c r="A85" s="16"/>
      <c r="B85" s="16"/>
      <c r="C85" s="16"/>
      <c r="D85" s="16"/>
      <c r="E85" s="16"/>
      <c r="F85" s="16"/>
      <c r="G85" s="16"/>
      <c r="H85" s="16"/>
    </row>
    <row r="86" spans="1:8">
      <c r="A86" s="16"/>
      <c r="B86" s="16"/>
      <c r="C86" s="16"/>
      <c r="D86" s="16"/>
      <c r="E86" s="16"/>
      <c r="F86" s="16"/>
      <c r="G86" s="16"/>
      <c r="H86" s="16"/>
    </row>
    <row r="87" spans="1:8">
      <c r="A87" s="16"/>
      <c r="B87" s="16"/>
      <c r="C87" s="16"/>
      <c r="D87" s="16"/>
      <c r="E87" s="16"/>
      <c r="F87" s="16"/>
      <c r="G87" s="16"/>
      <c r="H87" s="16"/>
    </row>
    <row r="88" spans="1:8">
      <c r="A88" s="16"/>
      <c r="B88" s="16"/>
      <c r="C88" s="16"/>
      <c r="D88" s="16"/>
      <c r="E88" s="16"/>
      <c r="F88" s="16"/>
      <c r="G88" s="16"/>
      <c r="H88" s="16"/>
    </row>
    <row r="89" spans="1:8">
      <c r="A89" s="16"/>
      <c r="B89" s="16"/>
      <c r="C89" s="16"/>
      <c r="D89" s="16"/>
      <c r="E89" s="16"/>
      <c r="F89" s="16"/>
      <c r="G89" s="16"/>
      <c r="H89" s="16"/>
    </row>
    <row r="90" spans="1:8">
      <c r="A90" s="16"/>
      <c r="B90" s="16"/>
      <c r="C90" s="16"/>
      <c r="D90" s="16"/>
      <c r="E90" s="16"/>
      <c r="F90" s="16"/>
      <c r="G90" s="16"/>
      <c r="H90" s="16"/>
    </row>
    <row r="91" spans="1:8">
      <c r="A91" s="16"/>
      <c r="B91" s="16"/>
      <c r="C91" s="16"/>
      <c r="D91" s="16"/>
      <c r="E91" s="16"/>
      <c r="F91" s="16"/>
      <c r="G91" s="16"/>
      <c r="H91" s="16"/>
    </row>
    <row r="92" spans="1:8">
      <c r="A92" s="16"/>
      <c r="B92" s="16"/>
      <c r="C92" s="16"/>
      <c r="D92" s="16"/>
      <c r="E92" s="16"/>
      <c r="F92" s="16"/>
      <c r="G92" s="16"/>
      <c r="H92" s="16"/>
    </row>
    <row r="93" spans="1:8">
      <c r="A93" s="16"/>
      <c r="B93" s="16"/>
      <c r="C93" s="16"/>
      <c r="D93" s="16"/>
      <c r="E93" s="16"/>
      <c r="F93" s="16"/>
      <c r="G93" s="16"/>
      <c r="H93" s="16"/>
    </row>
    <row r="94" spans="1:8">
      <c r="A94" s="16"/>
      <c r="B94" s="16"/>
      <c r="C94" s="16"/>
      <c r="D94" s="16"/>
      <c r="E94" s="16"/>
      <c r="F94" s="16"/>
      <c r="G94" s="16"/>
      <c r="H94" s="16"/>
    </row>
    <row r="95" spans="1:8">
      <c r="A95" s="16"/>
      <c r="B95" s="16"/>
      <c r="C95" s="16"/>
      <c r="D95" s="16"/>
      <c r="E95" s="16"/>
      <c r="F95" s="16"/>
      <c r="G95" s="16"/>
      <c r="H95" s="16"/>
    </row>
    <row r="96" spans="1:8">
      <c r="A96" s="16"/>
      <c r="B96" s="16"/>
      <c r="C96" s="16"/>
      <c r="D96" s="16"/>
      <c r="E96" s="16"/>
      <c r="F96" s="16"/>
      <c r="G96" s="16"/>
      <c r="H96" s="16"/>
    </row>
    <row r="97" spans="1:8">
      <c r="A97" s="16"/>
      <c r="B97" s="16"/>
      <c r="C97" s="16"/>
      <c r="D97" s="16"/>
      <c r="E97" s="16"/>
      <c r="F97" s="16"/>
      <c r="G97" s="16"/>
      <c r="H97" s="16"/>
    </row>
    <row r="98" spans="1:8">
      <c r="A98" s="16"/>
      <c r="B98" s="16"/>
      <c r="C98" s="16"/>
      <c r="D98" s="16"/>
      <c r="E98" s="16"/>
      <c r="F98" s="16"/>
      <c r="G98" s="16"/>
      <c r="H98" s="16"/>
    </row>
    <row r="99" spans="1:8">
      <c r="A99" s="16"/>
      <c r="B99" s="16"/>
      <c r="C99" s="16"/>
      <c r="D99" s="16"/>
      <c r="E99" s="16"/>
      <c r="F99" s="16"/>
      <c r="G99" s="16"/>
      <c r="H99" s="16"/>
    </row>
    <row r="100" spans="1:8">
      <c r="A100" s="16"/>
      <c r="B100" s="16"/>
      <c r="C100" s="16"/>
      <c r="D100" s="16"/>
      <c r="E100" s="16"/>
      <c r="F100" s="16"/>
      <c r="G100" s="16"/>
      <c r="H100" s="16"/>
    </row>
    <row r="101" spans="1:8">
      <c r="A101" s="16"/>
      <c r="B101" s="16"/>
      <c r="C101" s="16"/>
      <c r="D101" s="16"/>
      <c r="E101" s="16"/>
      <c r="F101" s="16"/>
      <c r="G101" s="16"/>
      <c r="H101" s="16"/>
    </row>
    <row r="102" spans="1:8">
      <c r="B102" s="16"/>
      <c r="C102" s="16"/>
      <c r="D102" s="16"/>
      <c r="E102" s="16"/>
      <c r="F102" s="16"/>
      <c r="G102" s="16"/>
      <c r="H102" s="1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D11"/>
  <sheetViews>
    <sheetView topLeftCell="A4" workbookViewId="0">
      <selection activeCell="D13" sqref="D13"/>
    </sheetView>
  </sheetViews>
  <sheetFormatPr baseColWidth="10" defaultRowHeight="14.25"/>
  <sheetData>
    <row r="4" spans="3:4">
      <c r="C4" t="s">
        <v>179</v>
      </c>
    </row>
    <row r="5" spans="3:4">
      <c r="C5" s="4" t="s">
        <v>101</v>
      </c>
      <c r="D5">
        <f>+'Analyse resultats'!K94</f>
        <v>10</v>
      </c>
    </row>
    <row r="6" spans="3:4">
      <c r="C6" s="25" t="s">
        <v>74</v>
      </c>
      <c r="D6">
        <f>+'Analyse resultats'!K95</f>
        <v>10</v>
      </c>
    </row>
    <row r="7" spans="3:4">
      <c r="C7" s="4" t="s">
        <v>42</v>
      </c>
      <c r="D7">
        <f>+'Analyse resultats'!K96</f>
        <v>4</v>
      </c>
    </row>
    <row r="8" spans="3:4">
      <c r="C8" s="25" t="s">
        <v>137</v>
      </c>
      <c r="D8">
        <f>+'Analyse resultats'!K97</f>
        <v>10</v>
      </c>
    </row>
    <row r="9" spans="3:4">
      <c r="C9" s="4" t="s">
        <v>58</v>
      </c>
      <c r="D9">
        <f>+'Analyse resultats'!K98</f>
        <v>9</v>
      </c>
    </row>
    <row r="10" spans="3:4">
      <c r="C10" s="25" t="s">
        <v>168</v>
      </c>
      <c r="D10">
        <f>+'Analyse resultats'!K99</f>
        <v>3</v>
      </c>
    </row>
    <row r="11" spans="3:4">
      <c r="C11" s="16" t="s">
        <v>180</v>
      </c>
      <c r="D11">
        <f>+'Analyse resultats'!K100</f>
        <v>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2"/>
  <sheetViews>
    <sheetView zoomScale="76" zoomScaleNormal="76" workbookViewId="0">
      <selection activeCell="G12" sqref="G12"/>
    </sheetView>
  </sheetViews>
  <sheetFormatPr baseColWidth="10" defaultColWidth="11.5" defaultRowHeight="14.25"/>
  <cols>
    <col min="2" max="2" width="16.5" customWidth="1"/>
    <col min="3" max="3" width="15.875" customWidth="1"/>
    <col min="4" max="4" width="17.375" customWidth="1"/>
    <col min="5" max="5" width="17.625" customWidth="1"/>
  </cols>
  <sheetData>
    <row r="1" spans="1:17" ht="15">
      <c r="A1" s="15"/>
      <c r="B1" s="15"/>
      <c r="C1" s="15"/>
      <c r="D1" s="15"/>
      <c r="E1" s="15"/>
      <c r="F1" s="15"/>
      <c r="G1" s="15"/>
      <c r="H1" s="15"/>
    </row>
    <row r="2" spans="1:17" ht="43.15" customHeight="1">
      <c r="A2" s="16"/>
      <c r="B2" s="15" t="s">
        <v>185</v>
      </c>
      <c r="C2" s="15"/>
      <c r="D2" s="15"/>
      <c r="E2" s="15"/>
      <c r="F2" s="15"/>
      <c r="G2" s="15"/>
      <c r="H2" s="15"/>
    </row>
    <row r="3" spans="1:17" ht="78" customHeight="1">
      <c r="A3" s="16" t="s">
        <v>54</v>
      </c>
      <c r="B3" s="20" t="s">
        <v>20</v>
      </c>
      <c r="C3" s="20" t="s">
        <v>21</v>
      </c>
      <c r="D3" s="21" t="s">
        <v>22</v>
      </c>
      <c r="E3" s="20" t="s">
        <v>23</v>
      </c>
      <c r="F3" s="20" t="s">
        <v>24</v>
      </c>
      <c r="G3" s="20" t="s">
        <v>25</v>
      </c>
      <c r="H3" s="20" t="s">
        <v>26</v>
      </c>
      <c r="I3" s="20" t="s">
        <v>27</v>
      </c>
      <c r="J3" s="20" t="s">
        <v>28</v>
      </c>
      <c r="K3" s="20" t="s">
        <v>29</v>
      </c>
      <c r="L3" s="20" t="s">
        <v>30</v>
      </c>
      <c r="M3" s="20" t="s">
        <v>31</v>
      </c>
      <c r="N3" s="20" t="s">
        <v>32</v>
      </c>
      <c r="O3" s="20" t="s">
        <v>33</v>
      </c>
      <c r="P3" s="20" t="s">
        <v>34</v>
      </c>
      <c r="Q3" s="20" t="s">
        <v>35</v>
      </c>
    </row>
    <row r="4" spans="1:17">
      <c r="A4" s="4" t="s">
        <v>101</v>
      </c>
      <c r="B4" s="27">
        <f>+'Analyse resultats'!AN94</f>
        <v>2</v>
      </c>
      <c r="C4" s="27">
        <f>+'Analyse resultats'!AO94</f>
        <v>1</v>
      </c>
      <c r="D4" s="27">
        <f>+'Analyse resultats'!AP94</f>
        <v>2</v>
      </c>
      <c r="E4" s="27">
        <f>+'Analyse resultats'!AQ94</f>
        <v>4</v>
      </c>
      <c r="F4" s="27">
        <f>+'Analyse resultats'!AR94</f>
        <v>3</v>
      </c>
      <c r="G4" s="27">
        <f>+'Analyse resultats'!AS94</f>
        <v>2</v>
      </c>
      <c r="H4" s="27">
        <f>+'Analyse resultats'!AT94</f>
        <v>2</v>
      </c>
      <c r="I4" s="27">
        <f>+'Analyse resultats'!AU94</f>
        <v>2</v>
      </c>
      <c r="J4" s="27">
        <f>+'Analyse resultats'!AV94</f>
        <v>2</v>
      </c>
      <c r="K4" s="27">
        <f>+'Analyse resultats'!AW94</f>
        <v>4</v>
      </c>
      <c r="L4" s="27">
        <f>+'Analyse resultats'!AX94</f>
        <v>2</v>
      </c>
      <c r="M4" s="27">
        <f>+'Analyse resultats'!AY94</f>
        <v>3</v>
      </c>
      <c r="N4" s="27">
        <f>+'Analyse resultats'!AZ94</f>
        <v>3</v>
      </c>
      <c r="O4" s="27">
        <f>+'Analyse resultats'!BA94</f>
        <v>3</v>
      </c>
      <c r="P4" s="27">
        <f>+'Analyse resultats'!BB94</f>
        <v>4</v>
      </c>
      <c r="Q4" s="27">
        <f>+'Analyse resultats'!BC94</f>
        <v>4</v>
      </c>
    </row>
    <row r="5" spans="1:17">
      <c r="A5" s="25" t="s">
        <v>74</v>
      </c>
      <c r="B5" s="27">
        <f>+'Analyse resultats'!AN95</f>
        <v>4</v>
      </c>
      <c r="C5" s="27">
        <f>+'Analyse resultats'!AO95</f>
        <v>3</v>
      </c>
      <c r="D5" s="27">
        <f>+'Analyse resultats'!AP95</f>
        <v>2</v>
      </c>
      <c r="E5" s="27">
        <f>+'Analyse resultats'!AQ95</f>
        <v>5</v>
      </c>
      <c r="F5" s="27">
        <f>+'Analyse resultats'!AR95</f>
        <v>5</v>
      </c>
      <c r="G5" s="27">
        <f>+'Analyse resultats'!AS95</f>
        <v>2</v>
      </c>
      <c r="H5" s="27">
        <f>+'Analyse resultats'!AT95</f>
        <v>1</v>
      </c>
      <c r="I5" s="27">
        <f>+'Analyse resultats'!AU95</f>
        <v>1</v>
      </c>
      <c r="J5" s="27">
        <f>+'Analyse resultats'!AV95</f>
        <v>1</v>
      </c>
      <c r="K5" s="27">
        <f>+'Analyse resultats'!AW95</f>
        <v>3</v>
      </c>
      <c r="L5" s="27">
        <f>+'Analyse resultats'!AX95</f>
        <v>3</v>
      </c>
      <c r="M5" s="27">
        <f>+'Analyse resultats'!AY95</f>
        <v>3</v>
      </c>
      <c r="N5" s="27">
        <f>+'Analyse resultats'!AZ95</f>
        <v>3</v>
      </c>
      <c r="O5" s="27">
        <f>+'Analyse resultats'!BA95</f>
        <v>3</v>
      </c>
      <c r="P5" s="27">
        <f>+'Analyse resultats'!BB95</f>
        <v>4</v>
      </c>
      <c r="Q5" s="27">
        <f>+'Analyse resultats'!BC95</f>
        <v>3</v>
      </c>
    </row>
    <row r="6" spans="1:17" ht="14.45" customHeight="1">
      <c r="A6" s="4" t="s">
        <v>42</v>
      </c>
      <c r="B6" s="27">
        <f>+'Analyse resultats'!AN96</f>
        <v>3</v>
      </c>
      <c r="C6" s="27">
        <f>+'Analyse resultats'!AO96</f>
        <v>3</v>
      </c>
      <c r="D6" s="27">
        <f>+'Analyse resultats'!AP96</f>
        <v>2</v>
      </c>
      <c r="E6" s="27">
        <f>+'Analyse resultats'!AQ96</f>
        <v>3</v>
      </c>
      <c r="F6" s="27">
        <f>+'Analyse resultats'!AR96</f>
        <v>3</v>
      </c>
      <c r="G6" s="27">
        <f>+'Analyse resultats'!AS96</f>
        <v>3</v>
      </c>
      <c r="H6" s="27">
        <f>+'Analyse resultats'!AT96</f>
        <v>3</v>
      </c>
      <c r="I6" s="27">
        <f>+'Analyse resultats'!AU96</f>
        <v>3</v>
      </c>
      <c r="J6" s="27">
        <f>+'Analyse resultats'!AV96</f>
        <v>3</v>
      </c>
      <c r="K6" s="27">
        <f>+'Analyse resultats'!AW96</f>
        <v>3</v>
      </c>
      <c r="L6" s="27">
        <f>+'Analyse resultats'!AX96</f>
        <v>3</v>
      </c>
      <c r="M6" s="27">
        <f>+'Analyse resultats'!AY96</f>
        <v>3</v>
      </c>
      <c r="N6" s="27">
        <f>+'Analyse resultats'!AZ96</f>
        <v>3</v>
      </c>
      <c r="O6" s="27">
        <f>+'Analyse resultats'!BA96</f>
        <v>3</v>
      </c>
      <c r="P6" s="27">
        <f>+'Analyse resultats'!BB96</f>
        <v>3</v>
      </c>
      <c r="Q6" s="27">
        <f>+'Analyse resultats'!BC96</f>
        <v>3</v>
      </c>
    </row>
    <row r="7" spans="1:17">
      <c r="A7" s="25" t="s">
        <v>137</v>
      </c>
      <c r="B7" s="27">
        <f>+'Analyse resultats'!AN97</f>
        <v>5</v>
      </c>
      <c r="C7" s="27">
        <f>+'Analyse resultats'!AO97</f>
        <v>4</v>
      </c>
      <c r="D7" s="27">
        <f>+'Analyse resultats'!AP97</f>
        <v>4</v>
      </c>
      <c r="E7" s="27">
        <f>+'Analyse resultats'!AQ97</f>
        <v>5</v>
      </c>
      <c r="F7" s="27">
        <f>+'Analyse resultats'!AR97</f>
        <v>4</v>
      </c>
      <c r="G7" s="27">
        <f>+'Analyse resultats'!AS97</f>
        <v>2</v>
      </c>
      <c r="H7" s="27">
        <f>+'Analyse resultats'!AT97</f>
        <v>2</v>
      </c>
      <c r="I7" s="27">
        <f>+'Analyse resultats'!AU97</f>
        <v>2</v>
      </c>
      <c r="J7" s="27">
        <f>+'Analyse resultats'!AV97</f>
        <v>2</v>
      </c>
      <c r="K7" s="27">
        <f>+'Analyse resultats'!AW97</f>
        <v>3</v>
      </c>
      <c r="L7" s="27">
        <f>+'Analyse resultats'!AX97</f>
        <v>4</v>
      </c>
      <c r="M7" s="27">
        <f>+'Analyse resultats'!AY97</f>
        <v>5</v>
      </c>
      <c r="N7" s="27">
        <f>+'Analyse resultats'!AZ97</f>
        <v>4</v>
      </c>
      <c r="O7" s="27">
        <f>+'Analyse resultats'!BA97</f>
        <v>4</v>
      </c>
      <c r="P7" s="27">
        <f>+'Analyse resultats'!BB97</f>
        <v>5</v>
      </c>
      <c r="Q7" s="27">
        <f>+'Analyse resultats'!BC97</f>
        <v>5</v>
      </c>
    </row>
    <row r="8" spans="1:17">
      <c r="A8" s="4" t="s">
        <v>58</v>
      </c>
      <c r="B8" s="27">
        <f>+'Analyse resultats'!AN98</f>
        <v>3</v>
      </c>
      <c r="C8" s="27">
        <f>+'Analyse resultats'!AO98</f>
        <v>3</v>
      </c>
      <c r="D8" s="27">
        <f>+'Analyse resultats'!AP98</f>
        <v>3</v>
      </c>
      <c r="E8" s="27">
        <f>+'Analyse resultats'!AQ98</f>
        <v>4</v>
      </c>
      <c r="F8" s="27">
        <f>+'Analyse resultats'!AR98</f>
        <v>4</v>
      </c>
      <c r="G8" s="27">
        <f>+'Analyse resultats'!AS98</f>
        <v>4</v>
      </c>
      <c r="H8" s="27">
        <f>+'Analyse resultats'!AT98</f>
        <v>4</v>
      </c>
      <c r="I8" s="27">
        <f>+'Analyse resultats'!AU98</f>
        <v>4</v>
      </c>
      <c r="J8" s="27">
        <f>+'Analyse resultats'!AV98</f>
        <v>4</v>
      </c>
      <c r="K8" s="27">
        <f>+'Analyse resultats'!AW98</f>
        <v>4</v>
      </c>
      <c r="L8" s="27">
        <f>+'Analyse resultats'!AX98</f>
        <v>4</v>
      </c>
      <c r="M8" s="27">
        <f>+'Analyse resultats'!AY98</f>
        <v>4</v>
      </c>
      <c r="N8" s="27">
        <f>+'Analyse resultats'!AZ98</f>
        <v>4</v>
      </c>
      <c r="O8" s="27">
        <f>+'Analyse resultats'!BA98</f>
        <v>4</v>
      </c>
      <c r="P8" s="27">
        <f>+'Analyse resultats'!BB98</f>
        <v>4</v>
      </c>
      <c r="Q8" s="27">
        <f>+'Analyse resultats'!BC98</f>
        <v>4</v>
      </c>
    </row>
    <row r="9" spans="1:17">
      <c r="A9" s="25" t="s">
        <v>168</v>
      </c>
      <c r="B9" s="27">
        <f>+'Analyse resultats'!AN99</f>
        <v>0</v>
      </c>
      <c r="C9" s="27">
        <f>+'Analyse resultats'!AO99</f>
        <v>0</v>
      </c>
      <c r="D9" s="27">
        <f>+'Analyse resultats'!AP99</f>
        <v>0</v>
      </c>
      <c r="E9" s="27">
        <f>+'Analyse resultats'!AQ99</f>
        <v>0</v>
      </c>
      <c r="F9" s="27">
        <f>+'Analyse resultats'!AR99</f>
        <v>0</v>
      </c>
      <c r="G9" s="27">
        <f>+'Analyse resultats'!AS99</f>
        <v>0</v>
      </c>
      <c r="H9" s="27">
        <f>+'Analyse resultats'!AT99</f>
        <v>0</v>
      </c>
      <c r="I9" s="27">
        <f>+'Analyse resultats'!AU99</f>
        <v>0</v>
      </c>
      <c r="J9" s="27">
        <f>+'Analyse resultats'!AV99</f>
        <v>0</v>
      </c>
      <c r="K9" s="27">
        <f>+'Analyse resultats'!AW99</f>
        <v>0</v>
      </c>
      <c r="L9" s="27">
        <f>+'Analyse resultats'!AX99</f>
        <v>0</v>
      </c>
      <c r="M9" s="27">
        <f>+'Analyse resultats'!AY99</f>
        <v>0</v>
      </c>
      <c r="N9" s="27">
        <f>+'Analyse resultats'!AZ99</f>
        <v>0</v>
      </c>
      <c r="O9" s="27">
        <f>+'Analyse resultats'!BA99</f>
        <v>0</v>
      </c>
      <c r="P9" s="27">
        <f>+'Analyse resultats'!BB99</f>
        <v>0</v>
      </c>
      <c r="Q9" s="27">
        <f>+'Analyse resultats'!BC99</f>
        <v>0</v>
      </c>
    </row>
    <row r="10" spans="1:17">
      <c r="A10" s="25" t="s">
        <v>180</v>
      </c>
      <c r="B10" s="27">
        <f>+'Analyse resultats'!AN100</f>
        <v>0</v>
      </c>
      <c r="C10" s="27">
        <f>+'Analyse resultats'!AO100</f>
        <v>0</v>
      </c>
      <c r="D10" s="27">
        <f>+'Analyse resultats'!AP100</f>
        <v>0</v>
      </c>
      <c r="E10" s="27">
        <f>+'Analyse resultats'!AQ100</f>
        <v>0</v>
      </c>
      <c r="F10" s="27">
        <f>+'Analyse resultats'!AR100</f>
        <v>0</v>
      </c>
      <c r="G10" s="27">
        <f>+'Analyse resultats'!AS100</f>
        <v>0</v>
      </c>
      <c r="H10" s="27">
        <f>+'Analyse resultats'!AT100</f>
        <v>0</v>
      </c>
      <c r="I10" s="27">
        <f>+'Analyse resultats'!AU100</f>
        <v>0</v>
      </c>
      <c r="J10" s="27">
        <f>+'Analyse resultats'!AV100</f>
        <v>0</v>
      </c>
      <c r="K10" s="27">
        <f>+'Analyse resultats'!AW100</f>
        <v>0</v>
      </c>
      <c r="L10" s="27">
        <f>+'Analyse resultats'!AX100</f>
        <v>0</v>
      </c>
      <c r="M10" s="27">
        <f>+'Analyse resultats'!AY100</f>
        <v>0</v>
      </c>
      <c r="N10" s="27">
        <f>+'Analyse resultats'!AZ100</f>
        <v>0</v>
      </c>
      <c r="O10" s="27">
        <f>+'Analyse resultats'!BA100</f>
        <v>0</v>
      </c>
      <c r="P10" s="27">
        <f>+'Analyse resultats'!BB100</f>
        <v>0</v>
      </c>
      <c r="Q10" s="27">
        <f>+'Analyse resultats'!BC100</f>
        <v>0</v>
      </c>
    </row>
    <row r="11" spans="1:17">
      <c r="A11" s="16"/>
      <c r="B11" s="16"/>
      <c r="C11" s="16"/>
      <c r="D11" s="16"/>
      <c r="E11" s="16"/>
      <c r="F11" s="16"/>
      <c r="G11" s="16"/>
      <c r="H11" s="16"/>
    </row>
    <row r="12" spans="1:17" ht="14.45" customHeight="1">
      <c r="A12" s="16"/>
      <c r="B12" s="16"/>
      <c r="C12" s="16"/>
      <c r="D12" s="16"/>
      <c r="E12" s="16"/>
      <c r="F12" s="16"/>
      <c r="G12" s="16"/>
      <c r="H12" s="16"/>
    </row>
    <row r="13" spans="1:17">
      <c r="A13" s="16"/>
      <c r="B13" s="16"/>
      <c r="C13" s="16"/>
      <c r="D13" s="16"/>
      <c r="E13" s="16"/>
      <c r="F13" s="16"/>
      <c r="G13" s="16"/>
      <c r="H13" s="16"/>
    </row>
    <row r="14" spans="1:17">
      <c r="A14" s="16"/>
      <c r="B14" s="16"/>
      <c r="C14" s="16"/>
      <c r="D14" s="16"/>
      <c r="E14" s="16"/>
      <c r="F14" s="16"/>
      <c r="G14" s="16"/>
      <c r="H14" s="16"/>
    </row>
    <row r="15" spans="1:17">
      <c r="A15" s="16"/>
      <c r="B15" s="16"/>
      <c r="C15" s="16"/>
      <c r="D15" s="16"/>
      <c r="E15" s="16"/>
      <c r="F15" s="16"/>
      <c r="G15" s="16"/>
      <c r="H15" s="16"/>
    </row>
    <row r="16" spans="1:17">
      <c r="A16" s="16"/>
      <c r="B16" s="16"/>
      <c r="C16" s="16"/>
      <c r="D16" s="16"/>
      <c r="E16" s="16"/>
      <c r="F16" s="16"/>
      <c r="G16" s="16"/>
      <c r="H16" s="16"/>
    </row>
    <row r="17" spans="1:8">
      <c r="A17" s="16"/>
      <c r="B17" s="16"/>
      <c r="C17" s="16"/>
      <c r="D17" s="16"/>
      <c r="E17" s="16"/>
      <c r="F17" s="16"/>
      <c r="G17" s="16"/>
      <c r="H17" s="16"/>
    </row>
    <row r="18" spans="1:8">
      <c r="A18" s="16"/>
      <c r="B18" s="16"/>
      <c r="C18" s="16"/>
      <c r="D18" s="16"/>
      <c r="E18" s="16"/>
      <c r="F18" s="16"/>
      <c r="G18" s="16"/>
      <c r="H18" s="16"/>
    </row>
    <row r="19" spans="1:8">
      <c r="A19" s="16"/>
      <c r="B19" s="16"/>
      <c r="C19" s="16"/>
      <c r="D19" s="16"/>
      <c r="E19" s="16"/>
      <c r="F19" s="16"/>
      <c r="G19" s="16"/>
      <c r="H19" s="16"/>
    </row>
    <row r="20" spans="1:8">
      <c r="A20" s="16"/>
      <c r="B20" s="16"/>
      <c r="C20" s="16"/>
      <c r="D20" s="16"/>
      <c r="E20" s="16"/>
      <c r="F20" s="16"/>
      <c r="G20" s="16"/>
      <c r="H20" s="16"/>
    </row>
    <row r="21" spans="1:8">
      <c r="A21" s="16"/>
      <c r="B21" s="16"/>
      <c r="C21" s="16"/>
      <c r="D21" s="16"/>
      <c r="E21" s="16"/>
      <c r="F21" s="16"/>
      <c r="G21" s="16"/>
      <c r="H21" s="16"/>
    </row>
    <row r="22" spans="1:8">
      <c r="A22" s="16"/>
      <c r="B22" s="16"/>
      <c r="C22" s="16"/>
      <c r="D22" s="16"/>
      <c r="E22" s="16"/>
      <c r="F22" s="16"/>
      <c r="G22" s="16"/>
      <c r="H22" s="16"/>
    </row>
    <row r="23" spans="1:8">
      <c r="A23" s="16"/>
      <c r="B23" s="16"/>
      <c r="C23" s="16"/>
      <c r="D23" s="16"/>
      <c r="E23" s="16"/>
      <c r="F23" s="16"/>
      <c r="G23" s="16"/>
      <c r="H23" s="16"/>
    </row>
    <row r="24" spans="1:8">
      <c r="A24" s="16"/>
      <c r="B24" s="16"/>
      <c r="C24" s="16"/>
      <c r="D24" s="16"/>
      <c r="E24" s="16"/>
      <c r="F24" s="16"/>
      <c r="G24" s="16"/>
      <c r="H24" s="16"/>
    </row>
    <row r="25" spans="1:8">
      <c r="A25" s="16"/>
      <c r="B25" s="16"/>
      <c r="C25" s="16"/>
      <c r="D25" s="16"/>
      <c r="E25" s="16"/>
      <c r="F25" s="16"/>
      <c r="G25" s="16"/>
      <c r="H25" s="16"/>
    </row>
    <row r="26" spans="1:8">
      <c r="A26" s="16"/>
      <c r="B26" s="16"/>
      <c r="C26" s="16"/>
      <c r="D26" s="16"/>
      <c r="E26" s="16"/>
      <c r="F26" s="16"/>
      <c r="G26" s="16"/>
      <c r="H26" s="16"/>
    </row>
    <row r="27" spans="1:8">
      <c r="A27" s="16"/>
      <c r="B27" s="16"/>
      <c r="C27" s="16"/>
      <c r="D27" s="16"/>
      <c r="E27" s="16"/>
      <c r="F27" s="16"/>
      <c r="G27" s="16"/>
      <c r="H27" s="16"/>
    </row>
    <row r="28" spans="1:8">
      <c r="A28" s="16"/>
      <c r="B28" s="16"/>
      <c r="C28" s="16"/>
      <c r="D28" s="16"/>
      <c r="E28" s="16"/>
      <c r="F28" s="16"/>
      <c r="G28" s="16"/>
      <c r="H28" s="16"/>
    </row>
    <row r="29" spans="1:8">
      <c r="A29" s="16"/>
      <c r="B29" s="16"/>
      <c r="C29" s="16"/>
      <c r="D29" s="16"/>
      <c r="E29" s="16"/>
      <c r="F29" s="16"/>
      <c r="G29" s="16"/>
      <c r="H29" s="16"/>
    </row>
    <row r="30" spans="1:8">
      <c r="A30" s="16"/>
      <c r="B30" s="16"/>
      <c r="C30" s="16"/>
      <c r="D30" s="16"/>
      <c r="E30" s="16"/>
      <c r="F30" s="16"/>
      <c r="G30" s="16"/>
      <c r="H30" s="16"/>
    </row>
    <row r="31" spans="1:8">
      <c r="A31" s="16"/>
      <c r="B31" s="16"/>
      <c r="C31" s="16"/>
      <c r="D31" s="16"/>
      <c r="E31" s="16"/>
      <c r="F31" s="16"/>
      <c r="G31" s="16"/>
      <c r="H31" s="16"/>
    </row>
    <row r="32" spans="1:8">
      <c r="A32" s="16"/>
      <c r="B32" s="16"/>
      <c r="C32" s="16"/>
      <c r="D32" s="16"/>
      <c r="E32" s="16"/>
      <c r="F32" s="16"/>
      <c r="G32" s="16"/>
      <c r="H32" s="16"/>
    </row>
    <row r="33" spans="1:8">
      <c r="A33" s="16"/>
      <c r="B33" s="16"/>
      <c r="C33" s="16"/>
      <c r="D33" s="16"/>
      <c r="E33" s="16"/>
      <c r="F33" s="16"/>
      <c r="G33" s="16"/>
      <c r="H33" s="16"/>
    </row>
    <row r="34" spans="1:8">
      <c r="A34" s="16"/>
      <c r="B34" s="16"/>
      <c r="C34" s="16"/>
      <c r="D34" s="16"/>
      <c r="E34" s="16"/>
      <c r="F34" s="16"/>
      <c r="G34" s="16"/>
      <c r="H34" s="16"/>
    </row>
    <row r="35" spans="1:8">
      <c r="A35" s="16"/>
      <c r="B35" s="16"/>
      <c r="C35" s="16"/>
      <c r="D35" s="16"/>
      <c r="E35" s="16"/>
      <c r="F35" s="16"/>
      <c r="G35" s="16"/>
      <c r="H35" s="16"/>
    </row>
    <row r="36" spans="1:8">
      <c r="A36" s="16"/>
      <c r="B36" s="16"/>
      <c r="C36" s="16"/>
      <c r="D36" s="16"/>
      <c r="E36" s="16"/>
      <c r="F36" s="16"/>
      <c r="G36" s="16"/>
      <c r="H36" s="16"/>
    </row>
    <row r="37" spans="1:8">
      <c r="A37" s="16"/>
      <c r="B37" s="16"/>
      <c r="C37" s="16"/>
      <c r="D37" s="16"/>
      <c r="E37" s="16"/>
      <c r="F37" s="16"/>
      <c r="G37" s="16"/>
      <c r="H37" s="16"/>
    </row>
    <row r="38" spans="1:8">
      <c r="A38" s="16"/>
      <c r="B38" s="16"/>
      <c r="C38" s="16"/>
      <c r="D38" s="16"/>
      <c r="E38" s="16"/>
      <c r="F38" s="16"/>
      <c r="G38" s="16"/>
      <c r="H38" s="16"/>
    </row>
    <row r="39" spans="1:8">
      <c r="A39" s="16"/>
      <c r="B39" s="16"/>
      <c r="C39" s="16"/>
      <c r="D39" s="16"/>
      <c r="E39" s="16"/>
      <c r="F39" s="16"/>
      <c r="G39" s="16"/>
      <c r="H39" s="16"/>
    </row>
    <row r="40" spans="1:8">
      <c r="A40" s="16"/>
      <c r="B40" s="16"/>
      <c r="C40" s="16"/>
      <c r="D40" s="16"/>
      <c r="E40" s="16"/>
      <c r="F40" s="16"/>
      <c r="G40" s="16"/>
      <c r="H40" s="16"/>
    </row>
    <row r="41" spans="1:8">
      <c r="A41" s="16"/>
      <c r="B41" s="16"/>
      <c r="C41" s="16"/>
      <c r="D41" s="16"/>
      <c r="E41" s="16"/>
      <c r="F41" s="16"/>
      <c r="G41" s="16"/>
      <c r="H41" s="16"/>
    </row>
    <row r="42" spans="1:8">
      <c r="A42" s="16"/>
      <c r="B42" s="16"/>
      <c r="C42" s="16"/>
      <c r="D42" s="16"/>
      <c r="E42" s="16"/>
      <c r="F42" s="16"/>
      <c r="G42" s="16"/>
      <c r="H42" s="16"/>
    </row>
    <row r="43" spans="1:8">
      <c r="A43" s="16"/>
      <c r="B43" s="16"/>
      <c r="C43" s="16"/>
      <c r="D43" s="16"/>
      <c r="E43" s="16"/>
      <c r="F43" s="16"/>
      <c r="G43" s="16"/>
      <c r="H43" s="16"/>
    </row>
    <row r="44" spans="1:8">
      <c r="A44" s="16"/>
      <c r="B44" s="16"/>
      <c r="C44" s="16"/>
      <c r="D44" s="16"/>
      <c r="E44" s="16"/>
      <c r="F44" s="16"/>
      <c r="G44" s="16"/>
      <c r="H44" s="16"/>
    </row>
    <row r="45" spans="1:8">
      <c r="A45" s="16"/>
      <c r="B45" s="16"/>
      <c r="C45" s="16"/>
      <c r="D45" s="16"/>
      <c r="E45" s="16"/>
      <c r="F45" s="16"/>
      <c r="G45" s="16"/>
      <c r="H45" s="16"/>
    </row>
    <row r="46" spans="1:8">
      <c r="A46" s="16"/>
      <c r="B46" s="16"/>
      <c r="C46" s="16"/>
      <c r="D46" s="16"/>
      <c r="E46" s="16"/>
      <c r="F46" s="16"/>
      <c r="G46" s="16"/>
      <c r="H46" s="16"/>
    </row>
    <row r="47" spans="1:8">
      <c r="A47" s="16"/>
      <c r="B47" s="16"/>
      <c r="C47" s="16"/>
      <c r="D47" s="16"/>
      <c r="E47" s="16"/>
      <c r="F47" s="16"/>
      <c r="G47" s="16"/>
      <c r="H47" s="16"/>
    </row>
    <row r="48" spans="1:8">
      <c r="A48" s="16"/>
      <c r="B48" s="16"/>
      <c r="C48" s="16"/>
      <c r="D48" s="16"/>
      <c r="E48" s="16"/>
      <c r="F48" s="16"/>
      <c r="G48" s="16"/>
      <c r="H48" s="16"/>
    </row>
    <row r="49" spans="1:8">
      <c r="A49" s="16"/>
      <c r="B49" s="16"/>
      <c r="C49" s="16"/>
      <c r="D49" s="16"/>
      <c r="E49" s="16"/>
      <c r="F49" s="16"/>
      <c r="G49" s="16"/>
      <c r="H49" s="16"/>
    </row>
    <row r="50" spans="1:8">
      <c r="A50" s="16"/>
      <c r="B50" s="16"/>
      <c r="C50" s="16"/>
      <c r="D50" s="16"/>
      <c r="E50" s="16"/>
      <c r="F50" s="16"/>
      <c r="G50" s="16"/>
      <c r="H50" s="16"/>
    </row>
    <row r="51" spans="1:8">
      <c r="A51" s="16"/>
      <c r="B51" s="16"/>
      <c r="C51" s="16"/>
      <c r="D51" s="16"/>
      <c r="E51" s="16"/>
      <c r="F51" s="16"/>
      <c r="G51" s="16"/>
      <c r="H51" s="16"/>
    </row>
    <row r="52" spans="1:8">
      <c r="A52" s="16"/>
      <c r="B52" s="16"/>
      <c r="C52" s="16"/>
      <c r="D52" s="16"/>
      <c r="E52" s="16"/>
      <c r="F52" s="16"/>
      <c r="G52" s="16"/>
      <c r="H52" s="16"/>
    </row>
    <row r="53" spans="1:8">
      <c r="A53" s="16"/>
      <c r="B53" s="16"/>
      <c r="C53" s="16"/>
      <c r="D53" s="16"/>
      <c r="E53" s="16"/>
      <c r="F53" s="16"/>
      <c r="G53" s="16"/>
      <c r="H53" s="16"/>
    </row>
    <row r="54" spans="1:8">
      <c r="A54" s="16"/>
      <c r="B54" s="16"/>
      <c r="C54" s="16"/>
      <c r="D54" s="16"/>
      <c r="E54" s="16"/>
      <c r="F54" s="16"/>
      <c r="G54" s="16"/>
      <c r="H54" s="16"/>
    </row>
    <row r="55" spans="1:8">
      <c r="A55" s="16"/>
      <c r="B55" s="16"/>
      <c r="C55" s="16"/>
      <c r="D55" s="16"/>
      <c r="E55" s="16"/>
      <c r="F55" s="16"/>
      <c r="G55" s="16"/>
      <c r="H55" s="16"/>
    </row>
    <row r="56" spans="1:8">
      <c r="A56" s="16"/>
      <c r="B56" s="16"/>
      <c r="C56" s="16"/>
      <c r="D56" s="16"/>
      <c r="E56" s="16"/>
      <c r="F56" s="16"/>
      <c r="G56" s="16"/>
      <c r="H56" s="16"/>
    </row>
    <row r="57" spans="1:8">
      <c r="A57" s="16"/>
      <c r="B57" s="16"/>
      <c r="C57" s="16"/>
      <c r="D57" s="16"/>
      <c r="E57" s="16"/>
      <c r="F57" s="16"/>
      <c r="G57" s="16"/>
      <c r="H57" s="16"/>
    </row>
    <row r="58" spans="1:8">
      <c r="A58" s="16"/>
      <c r="B58" s="16"/>
      <c r="C58" s="16"/>
      <c r="D58" s="16"/>
      <c r="E58" s="16"/>
      <c r="F58" s="16"/>
      <c r="G58" s="16"/>
      <c r="H58" s="16"/>
    </row>
    <row r="59" spans="1:8">
      <c r="A59" s="16"/>
      <c r="B59" s="16"/>
      <c r="C59" s="16"/>
      <c r="D59" s="16"/>
      <c r="E59" s="16"/>
      <c r="F59" s="16"/>
      <c r="G59" s="16"/>
      <c r="H59" s="16"/>
    </row>
    <row r="60" spans="1:8">
      <c r="A60" s="16"/>
      <c r="B60" s="16"/>
      <c r="C60" s="16"/>
      <c r="D60" s="16"/>
      <c r="E60" s="16"/>
      <c r="F60" s="16"/>
      <c r="G60" s="16"/>
      <c r="H60" s="16"/>
    </row>
    <row r="61" spans="1:8">
      <c r="A61" s="16"/>
      <c r="B61" s="16"/>
      <c r="C61" s="16"/>
      <c r="D61" s="16"/>
      <c r="E61" s="16"/>
      <c r="F61" s="16"/>
      <c r="G61" s="16"/>
      <c r="H61" s="16"/>
    </row>
    <row r="62" spans="1:8">
      <c r="A62" s="16"/>
      <c r="B62" s="16"/>
      <c r="C62" s="16"/>
      <c r="D62" s="16"/>
      <c r="E62" s="16"/>
      <c r="F62" s="16"/>
      <c r="G62" s="16"/>
      <c r="H62" s="16"/>
    </row>
    <row r="63" spans="1:8">
      <c r="A63" s="16"/>
      <c r="B63" s="16"/>
      <c r="C63" s="16"/>
      <c r="D63" s="16"/>
      <c r="E63" s="16"/>
      <c r="F63" s="16"/>
      <c r="G63" s="16"/>
      <c r="H63" s="16"/>
    </row>
    <row r="64" spans="1:8">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row r="72" spans="1:8">
      <c r="A72" s="16"/>
      <c r="B72" s="16"/>
      <c r="C72" s="16"/>
      <c r="D72" s="16"/>
      <c r="E72" s="16"/>
      <c r="F72" s="16"/>
      <c r="G72" s="16"/>
      <c r="H72" s="16"/>
    </row>
    <row r="73" spans="1:8">
      <c r="A73" s="16"/>
      <c r="B73" s="16"/>
      <c r="C73" s="16"/>
      <c r="D73" s="16"/>
      <c r="E73" s="16"/>
      <c r="F73" s="16"/>
      <c r="G73" s="16"/>
      <c r="H73" s="16"/>
    </row>
    <row r="74" spans="1:8">
      <c r="A74" s="16"/>
      <c r="B74" s="16"/>
      <c r="C74" s="16"/>
      <c r="D74" s="16"/>
      <c r="E74" s="16"/>
      <c r="F74" s="16"/>
      <c r="G74" s="16"/>
      <c r="H74" s="16"/>
    </row>
    <row r="75" spans="1:8">
      <c r="A75" s="16"/>
      <c r="B75" s="16"/>
      <c r="C75" s="16"/>
      <c r="D75" s="16"/>
      <c r="E75" s="16"/>
      <c r="F75" s="16"/>
      <c r="G75" s="16"/>
      <c r="H75" s="16"/>
    </row>
    <row r="76" spans="1:8">
      <c r="A76" s="16"/>
      <c r="B76" s="16"/>
      <c r="C76" s="16"/>
      <c r="D76" s="16"/>
      <c r="E76" s="16"/>
      <c r="F76" s="16"/>
      <c r="G76" s="16"/>
      <c r="H76" s="16"/>
    </row>
    <row r="77" spans="1:8">
      <c r="A77" s="16"/>
      <c r="B77" s="16"/>
      <c r="C77" s="16"/>
      <c r="D77" s="16"/>
      <c r="E77" s="16"/>
      <c r="F77" s="16"/>
      <c r="G77" s="16"/>
      <c r="H77" s="16"/>
    </row>
    <row r="78" spans="1:8">
      <c r="A78" s="16"/>
      <c r="B78" s="16"/>
      <c r="C78" s="16"/>
      <c r="D78" s="16"/>
      <c r="E78" s="16"/>
      <c r="F78" s="16"/>
      <c r="G78" s="16"/>
      <c r="H78" s="16"/>
    </row>
    <row r="79" spans="1:8">
      <c r="A79" s="16"/>
      <c r="B79" s="16"/>
      <c r="C79" s="16"/>
      <c r="D79" s="16"/>
      <c r="E79" s="16"/>
      <c r="F79" s="16"/>
      <c r="G79" s="16"/>
      <c r="H79" s="16"/>
    </row>
    <row r="80" spans="1:8">
      <c r="A80" s="16"/>
      <c r="B80" s="16"/>
      <c r="C80" s="16"/>
      <c r="D80" s="16"/>
      <c r="E80" s="16"/>
      <c r="F80" s="16"/>
      <c r="G80" s="16"/>
      <c r="H80" s="16"/>
    </row>
    <row r="81" spans="1:8">
      <c r="A81" s="16"/>
      <c r="B81" s="16"/>
      <c r="C81" s="16"/>
      <c r="D81" s="16"/>
      <c r="E81" s="16"/>
      <c r="F81" s="16"/>
      <c r="G81" s="16"/>
      <c r="H81" s="16"/>
    </row>
    <row r="82" spans="1:8">
      <c r="A82" s="16"/>
      <c r="B82" s="16"/>
      <c r="C82" s="16"/>
      <c r="D82" s="16"/>
      <c r="E82" s="16"/>
      <c r="F82" s="16"/>
      <c r="G82" s="16"/>
      <c r="H82" s="16"/>
    </row>
    <row r="83" spans="1:8">
      <c r="A83" s="16"/>
      <c r="B83" s="16"/>
      <c r="C83" s="16"/>
      <c r="D83" s="16"/>
      <c r="E83" s="16"/>
      <c r="F83" s="16"/>
      <c r="G83" s="16"/>
      <c r="H83" s="16"/>
    </row>
    <row r="84" spans="1:8">
      <c r="A84" s="16"/>
      <c r="B84" s="16"/>
      <c r="C84" s="16"/>
      <c r="D84" s="16"/>
      <c r="E84" s="16"/>
      <c r="F84" s="16"/>
      <c r="G84" s="16"/>
      <c r="H84" s="16"/>
    </row>
    <row r="85" spans="1:8">
      <c r="A85" s="16"/>
      <c r="B85" s="16"/>
      <c r="C85" s="16"/>
      <c r="D85" s="16"/>
      <c r="E85" s="16"/>
      <c r="F85" s="16"/>
      <c r="G85" s="16"/>
      <c r="H85" s="16"/>
    </row>
    <row r="86" spans="1:8">
      <c r="A86" s="16"/>
      <c r="B86" s="16"/>
      <c r="C86" s="16"/>
      <c r="D86" s="16"/>
      <c r="E86" s="16"/>
      <c r="F86" s="16"/>
      <c r="G86" s="16"/>
      <c r="H86" s="16"/>
    </row>
    <row r="87" spans="1:8">
      <c r="A87" s="16"/>
      <c r="B87" s="16"/>
      <c r="C87" s="16"/>
      <c r="D87" s="16"/>
      <c r="E87" s="16"/>
      <c r="F87" s="16"/>
      <c r="G87" s="16"/>
      <c r="H87" s="16"/>
    </row>
    <row r="88" spans="1:8">
      <c r="A88" s="16"/>
      <c r="B88" s="16"/>
      <c r="C88" s="16"/>
      <c r="D88" s="16"/>
      <c r="E88" s="16"/>
      <c r="F88" s="16"/>
      <c r="G88" s="16"/>
      <c r="H88" s="16"/>
    </row>
    <row r="89" spans="1:8">
      <c r="A89" s="16"/>
      <c r="B89" s="16"/>
      <c r="C89" s="16"/>
      <c r="D89" s="16"/>
      <c r="E89" s="16"/>
      <c r="F89" s="16"/>
      <c r="G89" s="16"/>
      <c r="H89" s="16"/>
    </row>
    <row r="90" spans="1:8">
      <c r="A90" s="16"/>
      <c r="B90" s="16"/>
      <c r="C90" s="16"/>
      <c r="D90" s="16"/>
      <c r="E90" s="16"/>
      <c r="F90" s="16"/>
      <c r="G90" s="16"/>
      <c r="H90" s="16"/>
    </row>
    <row r="91" spans="1:8">
      <c r="A91" s="16"/>
      <c r="B91" s="16"/>
      <c r="C91" s="16"/>
      <c r="D91" s="16"/>
      <c r="E91" s="16"/>
      <c r="F91" s="16"/>
      <c r="G91" s="16"/>
      <c r="H91" s="16"/>
    </row>
    <row r="92" spans="1:8">
      <c r="A92" s="16"/>
      <c r="B92" s="16"/>
      <c r="C92" s="16"/>
      <c r="D92" s="16"/>
      <c r="E92" s="16"/>
      <c r="F92" s="16"/>
      <c r="G92" s="16"/>
      <c r="H92" s="16"/>
    </row>
    <row r="93" spans="1:8">
      <c r="A93" s="16"/>
      <c r="B93" s="16"/>
      <c r="C93" s="16"/>
      <c r="D93" s="16"/>
      <c r="E93" s="16"/>
      <c r="F93" s="16"/>
      <c r="G93" s="16"/>
      <c r="H93" s="16"/>
    </row>
    <row r="94" spans="1:8">
      <c r="A94" s="16"/>
      <c r="B94" s="16"/>
      <c r="C94" s="16"/>
      <c r="D94" s="16"/>
      <c r="E94" s="16"/>
      <c r="F94" s="16"/>
      <c r="G94" s="16"/>
      <c r="H94" s="16"/>
    </row>
    <row r="95" spans="1:8">
      <c r="A95" s="16"/>
      <c r="B95" s="16"/>
      <c r="C95" s="16"/>
      <c r="D95" s="16"/>
      <c r="E95" s="16"/>
      <c r="F95" s="16"/>
      <c r="G95" s="16"/>
      <c r="H95" s="16"/>
    </row>
    <row r="96" spans="1:8">
      <c r="A96" s="16"/>
      <c r="B96" s="16"/>
      <c r="C96" s="16"/>
      <c r="D96" s="16"/>
      <c r="E96" s="16"/>
      <c r="F96" s="16"/>
      <c r="G96" s="16"/>
      <c r="H96" s="16"/>
    </row>
    <row r="97" spans="1:8">
      <c r="A97" s="16"/>
      <c r="B97" s="16"/>
      <c r="C97" s="16"/>
      <c r="D97" s="16"/>
      <c r="E97" s="16"/>
      <c r="F97" s="16"/>
      <c r="G97" s="16"/>
      <c r="H97" s="16"/>
    </row>
    <row r="98" spans="1:8">
      <c r="A98" s="16"/>
      <c r="B98" s="16"/>
      <c r="C98" s="16"/>
      <c r="D98" s="16"/>
      <c r="E98" s="16"/>
      <c r="F98" s="16"/>
      <c r="G98" s="16"/>
      <c r="H98" s="16"/>
    </row>
    <row r="99" spans="1:8">
      <c r="A99" s="16"/>
      <c r="B99" s="16"/>
      <c r="C99" s="16"/>
      <c r="D99" s="16"/>
      <c r="E99" s="16"/>
      <c r="F99" s="16"/>
      <c r="G99" s="16"/>
      <c r="H99" s="16"/>
    </row>
    <row r="100" spans="1:8">
      <c r="A100" s="16"/>
      <c r="B100" s="16"/>
      <c r="C100" s="16"/>
      <c r="D100" s="16"/>
      <c r="E100" s="16"/>
      <c r="F100" s="16"/>
      <c r="G100" s="16"/>
      <c r="H100" s="16"/>
    </row>
    <row r="101" spans="1:8">
      <c r="A101" s="16"/>
      <c r="B101" s="16"/>
      <c r="C101" s="16"/>
      <c r="D101" s="16"/>
      <c r="E101" s="16"/>
      <c r="F101" s="16"/>
      <c r="G101" s="16"/>
      <c r="H101" s="16"/>
    </row>
    <row r="102" spans="1:8">
      <c r="B102" s="16"/>
      <c r="C102" s="16"/>
      <c r="D102" s="16"/>
      <c r="E102" s="16"/>
      <c r="F102" s="16"/>
      <c r="G102" s="16"/>
      <c r="H102" s="16"/>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2"/>
  <sheetViews>
    <sheetView topLeftCell="E1" zoomScale="76" zoomScaleNormal="76" workbookViewId="0">
      <selection activeCell="B4" sqref="B4:Q10"/>
    </sheetView>
  </sheetViews>
  <sheetFormatPr baseColWidth="10" defaultColWidth="11.5" defaultRowHeight="14.25"/>
  <cols>
    <col min="2" max="2" width="16.5" customWidth="1"/>
    <col min="3" max="3" width="15.875" customWidth="1"/>
    <col min="4" max="4" width="17.375" customWidth="1"/>
    <col min="5" max="5" width="17.625" customWidth="1"/>
  </cols>
  <sheetData>
    <row r="1" spans="1:17" ht="15">
      <c r="A1" s="15"/>
      <c r="B1" s="15"/>
      <c r="C1" s="15"/>
      <c r="D1" s="15"/>
      <c r="E1" s="15"/>
      <c r="F1" s="15"/>
      <c r="G1" s="15"/>
      <c r="H1" s="15"/>
    </row>
    <row r="2" spans="1:17" ht="43.15" customHeight="1">
      <c r="A2" s="16"/>
      <c r="B2" s="15" t="s">
        <v>186</v>
      </c>
      <c r="C2" s="15"/>
      <c r="D2" s="15"/>
      <c r="E2" s="15"/>
      <c r="F2" s="15"/>
      <c r="G2" s="15"/>
      <c r="H2" s="15"/>
    </row>
    <row r="3" spans="1:17" ht="78" customHeight="1">
      <c r="A3" s="16" t="s">
        <v>54</v>
      </c>
      <c r="B3" s="20" t="s">
        <v>20</v>
      </c>
      <c r="C3" s="20" t="s">
        <v>21</v>
      </c>
      <c r="D3" s="21" t="s">
        <v>22</v>
      </c>
      <c r="E3" s="20" t="s">
        <v>23</v>
      </c>
      <c r="F3" s="20" t="s">
        <v>24</v>
      </c>
      <c r="G3" s="20" t="s">
        <v>25</v>
      </c>
      <c r="H3" s="20" t="s">
        <v>26</v>
      </c>
      <c r="I3" s="20" t="s">
        <v>27</v>
      </c>
      <c r="J3" s="20" t="s">
        <v>28</v>
      </c>
      <c r="K3" s="20" t="s">
        <v>29</v>
      </c>
      <c r="L3" s="20" t="s">
        <v>30</v>
      </c>
      <c r="M3" s="20" t="s">
        <v>31</v>
      </c>
      <c r="N3" s="20" t="s">
        <v>32</v>
      </c>
      <c r="O3" s="20" t="s">
        <v>33</v>
      </c>
      <c r="P3" s="20" t="s">
        <v>34</v>
      </c>
      <c r="Q3" s="20" t="s">
        <v>35</v>
      </c>
    </row>
    <row r="4" spans="1:17">
      <c r="A4" s="4" t="s">
        <v>101</v>
      </c>
      <c r="B4" s="27">
        <f>+'Analyse resultats'!BF94</f>
        <v>0</v>
      </c>
      <c r="C4" s="27">
        <f>+'Analyse resultats'!BG94</f>
        <v>0</v>
      </c>
      <c r="D4" s="27">
        <f>+'Analyse resultats'!BH94</f>
        <v>0</v>
      </c>
      <c r="E4" s="27">
        <f>+'Analyse resultats'!BI94</f>
        <v>0</v>
      </c>
      <c r="F4" s="27">
        <f>+'Analyse resultats'!BJ94</f>
        <v>0</v>
      </c>
      <c r="G4" s="27">
        <f>+'Analyse resultats'!BK94</f>
        <v>0</v>
      </c>
      <c r="H4" s="27">
        <f>+'Analyse resultats'!BL94</f>
        <v>0</v>
      </c>
      <c r="I4" s="27">
        <f>+'Analyse resultats'!BM94</f>
        <v>0</v>
      </c>
      <c r="J4" s="27">
        <f>+'Analyse resultats'!BN94</f>
        <v>0</v>
      </c>
      <c r="K4" s="27">
        <f>+'Analyse resultats'!BO94</f>
        <v>0</v>
      </c>
      <c r="L4" s="27">
        <f>+'Analyse resultats'!BP94</f>
        <v>0</v>
      </c>
      <c r="M4" s="27">
        <f>+'Analyse resultats'!BQ94</f>
        <v>0</v>
      </c>
      <c r="N4" s="27">
        <f>+'Analyse resultats'!BR94</f>
        <v>0</v>
      </c>
      <c r="O4" s="27">
        <f>+'Analyse resultats'!BS94</f>
        <v>0</v>
      </c>
      <c r="P4" s="27">
        <f>+'Analyse resultats'!BT94</f>
        <v>0</v>
      </c>
      <c r="Q4" s="27">
        <f>+'Analyse resultats'!BU94</f>
        <v>0</v>
      </c>
    </row>
    <row r="5" spans="1:17">
      <c r="A5" s="25" t="s">
        <v>74</v>
      </c>
      <c r="B5" s="27">
        <f>+'Analyse resultats'!BF95</f>
        <v>2</v>
      </c>
      <c r="C5" s="27">
        <f>+'Analyse resultats'!BG95</f>
        <v>2</v>
      </c>
      <c r="D5" s="27">
        <f>+'Analyse resultats'!BH95</f>
        <v>2</v>
      </c>
      <c r="E5" s="27">
        <f>+'Analyse resultats'!BI95</f>
        <v>0</v>
      </c>
      <c r="F5" s="27">
        <f>+'Analyse resultats'!BJ95</f>
        <v>0</v>
      </c>
      <c r="G5" s="27">
        <f>+'Analyse resultats'!BK95</f>
        <v>0</v>
      </c>
      <c r="H5" s="27">
        <f>+'Analyse resultats'!BL95</f>
        <v>0</v>
      </c>
      <c r="I5" s="27">
        <f>+'Analyse resultats'!BM95</f>
        <v>0</v>
      </c>
      <c r="J5" s="27">
        <f>+'Analyse resultats'!BN95</f>
        <v>2</v>
      </c>
      <c r="K5" s="27">
        <f>+'Analyse resultats'!BO95</f>
        <v>2</v>
      </c>
      <c r="L5" s="27">
        <f>+'Analyse resultats'!BP95</f>
        <v>2</v>
      </c>
      <c r="M5" s="27">
        <f>+'Analyse resultats'!BQ95</f>
        <v>0</v>
      </c>
      <c r="N5" s="27">
        <f>+'Analyse resultats'!BR95</f>
        <v>0</v>
      </c>
      <c r="O5" s="27">
        <f>+'Analyse resultats'!BS95</f>
        <v>2</v>
      </c>
      <c r="P5" s="27">
        <f>+'Analyse resultats'!BT95</f>
        <v>2</v>
      </c>
      <c r="Q5" s="27">
        <f>+'Analyse resultats'!BU95</f>
        <v>2</v>
      </c>
    </row>
    <row r="6" spans="1:17" ht="14.45" customHeight="1">
      <c r="A6" s="4" t="s">
        <v>42</v>
      </c>
      <c r="B6" s="27">
        <f>+'Analyse resultats'!BF96</f>
        <v>2</v>
      </c>
      <c r="C6" s="27">
        <f>+'Analyse resultats'!BG96</f>
        <v>2</v>
      </c>
      <c r="D6" s="27">
        <f>+'Analyse resultats'!BH96</f>
        <v>1</v>
      </c>
      <c r="E6" s="27">
        <f>+'Analyse resultats'!BI96</f>
        <v>2</v>
      </c>
      <c r="F6" s="27">
        <f>+'Analyse resultats'!BJ96</f>
        <v>2</v>
      </c>
      <c r="G6" s="27">
        <f>+'Analyse resultats'!BK96</f>
        <v>2</v>
      </c>
      <c r="H6" s="27">
        <f>+'Analyse resultats'!BL96</f>
        <v>2</v>
      </c>
      <c r="I6" s="27">
        <f>+'Analyse resultats'!BM96</f>
        <v>2</v>
      </c>
      <c r="J6" s="27">
        <f>+'Analyse resultats'!BN96</f>
        <v>2</v>
      </c>
      <c r="K6" s="27">
        <f>+'Analyse resultats'!BO96</f>
        <v>2</v>
      </c>
      <c r="L6" s="27">
        <f>+'Analyse resultats'!BP96</f>
        <v>2</v>
      </c>
      <c r="M6" s="27">
        <f>+'Analyse resultats'!BQ96</f>
        <v>2</v>
      </c>
      <c r="N6" s="27">
        <f>+'Analyse resultats'!BR96</f>
        <v>2</v>
      </c>
      <c r="O6" s="27">
        <f>+'Analyse resultats'!BS96</f>
        <v>2</v>
      </c>
      <c r="P6" s="27">
        <f>+'Analyse resultats'!BT96</f>
        <v>2</v>
      </c>
      <c r="Q6" s="27">
        <f>+'Analyse resultats'!BU96</f>
        <v>2</v>
      </c>
    </row>
    <row r="7" spans="1:17">
      <c r="A7" s="25" t="s">
        <v>137</v>
      </c>
      <c r="B7" s="27">
        <f>+'Analyse resultats'!BF97</f>
        <v>3</v>
      </c>
      <c r="C7" s="27">
        <f>+'Analyse resultats'!BG97</f>
        <v>3</v>
      </c>
      <c r="D7" s="27">
        <f>+'Analyse resultats'!BH97</f>
        <v>3</v>
      </c>
      <c r="E7" s="27">
        <f>+'Analyse resultats'!BI97</f>
        <v>2</v>
      </c>
      <c r="F7" s="27">
        <f>+'Analyse resultats'!BJ97</f>
        <v>2</v>
      </c>
      <c r="G7" s="27">
        <f>+'Analyse resultats'!BK97</f>
        <v>2</v>
      </c>
      <c r="H7" s="27">
        <f>+'Analyse resultats'!BL97</f>
        <v>2</v>
      </c>
      <c r="I7" s="27">
        <f>+'Analyse resultats'!BM97</f>
        <v>2</v>
      </c>
      <c r="J7" s="27">
        <f>+'Analyse resultats'!BN97</f>
        <v>3</v>
      </c>
      <c r="K7" s="27">
        <f>+'Analyse resultats'!BO97</f>
        <v>3</v>
      </c>
      <c r="L7" s="27">
        <f>+'Analyse resultats'!BP97</f>
        <v>3</v>
      </c>
      <c r="M7" s="27">
        <f>+'Analyse resultats'!BQ97</f>
        <v>2</v>
      </c>
      <c r="N7" s="27">
        <f>+'Analyse resultats'!BR97</f>
        <v>2</v>
      </c>
      <c r="O7" s="27">
        <f>+'Analyse resultats'!BS97</f>
        <v>3</v>
      </c>
      <c r="P7" s="27">
        <f>+'Analyse resultats'!BT97</f>
        <v>3</v>
      </c>
      <c r="Q7" s="27">
        <f>+'Analyse resultats'!BU97</f>
        <v>3</v>
      </c>
    </row>
    <row r="8" spans="1:17">
      <c r="A8" s="4" t="s">
        <v>58</v>
      </c>
      <c r="B8" s="27">
        <f>+'Analyse resultats'!BF98</f>
        <v>0</v>
      </c>
      <c r="C8" s="27">
        <f>+'Analyse resultats'!BG98</f>
        <v>0</v>
      </c>
      <c r="D8" s="27">
        <f>+'Analyse resultats'!BH98</f>
        <v>0</v>
      </c>
      <c r="E8" s="27">
        <f>+'Analyse resultats'!BI98</f>
        <v>1</v>
      </c>
      <c r="F8" s="27">
        <f>+'Analyse resultats'!BJ98</f>
        <v>1</v>
      </c>
      <c r="G8" s="27">
        <f>+'Analyse resultats'!BK98</f>
        <v>1</v>
      </c>
      <c r="H8" s="27">
        <f>+'Analyse resultats'!BL98</f>
        <v>1</v>
      </c>
      <c r="I8" s="27">
        <f>+'Analyse resultats'!BM98</f>
        <v>1</v>
      </c>
      <c r="J8" s="27">
        <f>+'Analyse resultats'!BN98</f>
        <v>1</v>
      </c>
      <c r="K8" s="27">
        <f>+'Analyse resultats'!BO98</f>
        <v>1</v>
      </c>
      <c r="L8" s="27">
        <f>+'Analyse resultats'!BP98</f>
        <v>1</v>
      </c>
      <c r="M8" s="27">
        <f>+'Analyse resultats'!BQ98</f>
        <v>1</v>
      </c>
      <c r="N8" s="27">
        <f>+'Analyse resultats'!BR98</f>
        <v>1</v>
      </c>
      <c r="O8" s="27">
        <f>+'Analyse resultats'!BS98</f>
        <v>1</v>
      </c>
      <c r="P8" s="27">
        <f>+'Analyse resultats'!BT98</f>
        <v>1</v>
      </c>
      <c r="Q8" s="27">
        <f>+'Analyse resultats'!BU98</f>
        <v>1</v>
      </c>
    </row>
    <row r="9" spans="1:17">
      <c r="A9" s="25" t="s">
        <v>168</v>
      </c>
      <c r="B9" s="27">
        <f>+'Analyse resultats'!BF99</f>
        <v>0</v>
      </c>
      <c r="C9" s="27">
        <f>+'Analyse resultats'!BG99</f>
        <v>0</v>
      </c>
      <c r="D9" s="27">
        <f>+'Analyse resultats'!BH99</f>
        <v>0</v>
      </c>
      <c r="E9" s="27">
        <f>+'Analyse resultats'!BI99</f>
        <v>0</v>
      </c>
      <c r="F9" s="27">
        <f>+'Analyse resultats'!BJ99</f>
        <v>0</v>
      </c>
      <c r="G9" s="27">
        <f>+'Analyse resultats'!BK99</f>
        <v>0</v>
      </c>
      <c r="H9" s="27">
        <f>+'Analyse resultats'!BL99</f>
        <v>0</v>
      </c>
      <c r="I9" s="27">
        <f>+'Analyse resultats'!BM99</f>
        <v>0</v>
      </c>
      <c r="J9" s="27">
        <f>+'Analyse resultats'!BN99</f>
        <v>0</v>
      </c>
      <c r="K9" s="27">
        <f>+'Analyse resultats'!BO99</f>
        <v>0</v>
      </c>
      <c r="L9" s="27">
        <f>+'Analyse resultats'!BP99</f>
        <v>0</v>
      </c>
      <c r="M9" s="27">
        <f>+'Analyse resultats'!BQ99</f>
        <v>0</v>
      </c>
      <c r="N9" s="27">
        <f>+'Analyse resultats'!BR99</f>
        <v>0</v>
      </c>
      <c r="O9" s="27">
        <f>+'Analyse resultats'!BS99</f>
        <v>0</v>
      </c>
      <c r="P9" s="27">
        <f>+'Analyse resultats'!BT99</f>
        <v>0</v>
      </c>
      <c r="Q9" s="27">
        <f>+'Analyse resultats'!BU99</f>
        <v>0</v>
      </c>
    </row>
    <row r="10" spans="1:17">
      <c r="A10" s="25" t="s">
        <v>180</v>
      </c>
      <c r="B10" s="27">
        <f>+'Analyse resultats'!BF100</f>
        <v>0</v>
      </c>
      <c r="C10" s="27">
        <f>+'Analyse resultats'!BG100</f>
        <v>0</v>
      </c>
      <c r="D10" s="27">
        <f>+'Analyse resultats'!BH100</f>
        <v>0</v>
      </c>
      <c r="E10" s="27">
        <f>+'Analyse resultats'!BI100</f>
        <v>0</v>
      </c>
      <c r="F10" s="27">
        <f>+'Analyse resultats'!BJ100</f>
        <v>0</v>
      </c>
      <c r="G10" s="27">
        <f>+'Analyse resultats'!BK100</f>
        <v>0</v>
      </c>
      <c r="H10" s="27">
        <f>+'Analyse resultats'!BL100</f>
        <v>0</v>
      </c>
      <c r="I10" s="27">
        <f>+'Analyse resultats'!BM100</f>
        <v>0</v>
      </c>
      <c r="J10" s="27">
        <f>+'Analyse resultats'!BN100</f>
        <v>0</v>
      </c>
      <c r="K10" s="27">
        <f>+'Analyse resultats'!BO100</f>
        <v>0</v>
      </c>
      <c r="L10" s="27">
        <f>+'Analyse resultats'!BP100</f>
        <v>0</v>
      </c>
      <c r="M10" s="27">
        <f>+'Analyse resultats'!BQ100</f>
        <v>0</v>
      </c>
      <c r="N10" s="27">
        <f>+'Analyse resultats'!BR100</f>
        <v>0</v>
      </c>
      <c r="O10" s="27">
        <f>+'Analyse resultats'!BS100</f>
        <v>0</v>
      </c>
      <c r="P10" s="27">
        <f>+'Analyse resultats'!BT100</f>
        <v>0</v>
      </c>
      <c r="Q10" s="27">
        <f>+'Analyse resultats'!BU100</f>
        <v>0</v>
      </c>
    </row>
    <row r="11" spans="1:17">
      <c r="A11" s="16"/>
      <c r="B11" s="16"/>
      <c r="C11" s="16"/>
      <c r="D11" s="16"/>
      <c r="E11" s="16"/>
      <c r="F11" s="16"/>
      <c r="G11" s="16"/>
      <c r="H11" s="16"/>
    </row>
    <row r="12" spans="1:17" ht="14.45" customHeight="1">
      <c r="A12" s="16"/>
      <c r="B12" s="16"/>
      <c r="C12" s="16"/>
      <c r="D12" s="16"/>
      <c r="E12" s="16"/>
      <c r="F12" s="16"/>
      <c r="G12" s="16"/>
      <c r="H12" s="16"/>
    </row>
    <row r="13" spans="1:17">
      <c r="A13" s="16"/>
      <c r="B13" s="16"/>
      <c r="C13" s="16"/>
      <c r="D13" s="16"/>
      <c r="E13" s="16"/>
      <c r="F13" s="16"/>
      <c r="G13" s="16"/>
      <c r="H13" s="16"/>
    </row>
    <row r="14" spans="1:17">
      <c r="A14" s="16"/>
      <c r="B14" s="16"/>
      <c r="C14" s="16"/>
      <c r="D14" s="16"/>
      <c r="E14" s="16"/>
      <c r="F14" s="16"/>
      <c r="G14" s="16"/>
      <c r="H14" s="16"/>
    </row>
    <row r="15" spans="1:17">
      <c r="A15" s="16"/>
      <c r="B15" s="16"/>
      <c r="C15" s="16"/>
      <c r="D15" s="16"/>
      <c r="E15" s="16"/>
      <c r="F15" s="16"/>
      <c r="G15" s="16"/>
      <c r="H15" s="16"/>
    </row>
    <row r="16" spans="1:17">
      <c r="A16" s="16"/>
      <c r="B16" s="16"/>
      <c r="C16" s="16"/>
      <c r="D16" s="16"/>
      <c r="E16" s="16"/>
      <c r="F16" s="16"/>
      <c r="G16" s="16"/>
      <c r="H16" s="16"/>
    </row>
    <row r="17" spans="1:8">
      <c r="A17" s="16"/>
      <c r="B17" s="16"/>
      <c r="C17" s="16"/>
      <c r="D17" s="16"/>
      <c r="E17" s="16"/>
      <c r="F17" s="16"/>
      <c r="G17" s="16"/>
      <c r="H17" s="16"/>
    </row>
    <row r="18" spans="1:8">
      <c r="A18" s="16"/>
      <c r="B18" s="16"/>
      <c r="C18" s="16"/>
      <c r="D18" s="16"/>
      <c r="E18" s="16"/>
      <c r="F18" s="16"/>
      <c r="G18" s="16"/>
      <c r="H18" s="16"/>
    </row>
    <row r="19" spans="1:8">
      <c r="A19" s="16"/>
      <c r="B19" s="16"/>
      <c r="C19" s="16"/>
      <c r="D19" s="16"/>
      <c r="E19" s="16"/>
      <c r="F19" s="16"/>
      <c r="G19" s="16"/>
      <c r="H19" s="16"/>
    </row>
    <row r="20" spans="1:8">
      <c r="A20" s="16"/>
      <c r="B20" s="16"/>
      <c r="C20" s="16"/>
      <c r="D20" s="16"/>
      <c r="E20" s="16"/>
      <c r="F20" s="16"/>
      <c r="G20" s="16"/>
      <c r="H20" s="16"/>
    </row>
    <row r="21" spans="1:8">
      <c r="A21" s="16"/>
      <c r="B21" s="16"/>
      <c r="C21" s="16"/>
      <c r="D21" s="16"/>
      <c r="E21" s="16"/>
      <c r="F21" s="16"/>
      <c r="G21" s="16"/>
      <c r="H21" s="16"/>
    </row>
    <row r="22" spans="1:8">
      <c r="A22" s="16"/>
      <c r="B22" s="16"/>
      <c r="C22" s="16"/>
      <c r="D22" s="16"/>
      <c r="E22" s="16"/>
      <c r="F22" s="16"/>
      <c r="G22" s="16"/>
      <c r="H22" s="16"/>
    </row>
    <row r="23" spans="1:8">
      <c r="A23" s="16"/>
      <c r="B23" s="16"/>
      <c r="C23" s="16"/>
      <c r="D23" s="16"/>
      <c r="E23" s="16"/>
      <c r="F23" s="16"/>
      <c r="G23" s="16"/>
      <c r="H23" s="16"/>
    </row>
    <row r="24" spans="1:8">
      <c r="A24" s="16"/>
      <c r="B24" s="16"/>
      <c r="C24" s="16"/>
      <c r="D24" s="16"/>
      <c r="E24" s="16"/>
      <c r="F24" s="16"/>
      <c r="G24" s="16"/>
      <c r="H24" s="16"/>
    </row>
    <row r="25" spans="1:8">
      <c r="A25" s="16"/>
      <c r="B25" s="16"/>
      <c r="C25" s="16"/>
      <c r="D25" s="16"/>
      <c r="E25" s="16"/>
      <c r="F25" s="16"/>
      <c r="G25" s="16"/>
      <c r="H25" s="16"/>
    </row>
    <row r="26" spans="1:8">
      <c r="A26" s="16"/>
      <c r="B26" s="16"/>
      <c r="C26" s="16"/>
      <c r="D26" s="16"/>
      <c r="E26" s="16"/>
      <c r="F26" s="16"/>
      <c r="G26" s="16"/>
      <c r="H26" s="16"/>
    </row>
    <row r="27" spans="1:8">
      <c r="A27" s="16"/>
      <c r="B27" s="16"/>
      <c r="C27" s="16"/>
      <c r="D27" s="16"/>
      <c r="E27" s="16"/>
      <c r="F27" s="16"/>
      <c r="G27" s="16"/>
      <c r="H27" s="16"/>
    </row>
    <row r="28" spans="1:8">
      <c r="A28" s="16"/>
      <c r="B28" s="16"/>
      <c r="C28" s="16"/>
      <c r="D28" s="16"/>
      <c r="E28" s="16"/>
      <c r="F28" s="16"/>
      <c r="G28" s="16"/>
      <c r="H28" s="16"/>
    </row>
    <row r="29" spans="1:8">
      <c r="A29" s="16"/>
      <c r="B29" s="16"/>
      <c r="C29" s="16"/>
      <c r="D29" s="16"/>
      <c r="E29" s="16"/>
      <c r="F29" s="16"/>
      <c r="G29" s="16"/>
      <c r="H29" s="16"/>
    </row>
    <row r="30" spans="1:8">
      <c r="A30" s="16"/>
      <c r="B30" s="16"/>
      <c r="C30" s="16"/>
      <c r="D30" s="16"/>
      <c r="E30" s="16"/>
      <c r="F30" s="16"/>
      <c r="G30" s="16"/>
      <c r="H30" s="16"/>
    </row>
    <row r="31" spans="1:8">
      <c r="A31" s="16"/>
      <c r="B31" s="16"/>
      <c r="C31" s="16"/>
      <c r="D31" s="16"/>
      <c r="E31" s="16"/>
      <c r="F31" s="16"/>
      <c r="G31" s="16"/>
      <c r="H31" s="16"/>
    </row>
    <row r="32" spans="1:8">
      <c r="A32" s="16"/>
      <c r="B32" s="16"/>
      <c r="C32" s="16"/>
      <c r="D32" s="16"/>
      <c r="E32" s="16"/>
      <c r="F32" s="16"/>
      <c r="G32" s="16"/>
      <c r="H32" s="16"/>
    </row>
    <row r="33" spans="1:8">
      <c r="A33" s="16"/>
      <c r="B33" s="16"/>
      <c r="C33" s="16"/>
      <c r="D33" s="16"/>
      <c r="E33" s="16"/>
      <c r="F33" s="16"/>
      <c r="G33" s="16"/>
      <c r="H33" s="16"/>
    </row>
    <row r="34" spans="1:8">
      <c r="A34" s="16"/>
      <c r="B34" s="16"/>
      <c r="C34" s="16"/>
      <c r="D34" s="16"/>
      <c r="E34" s="16"/>
      <c r="F34" s="16"/>
      <c r="G34" s="16"/>
      <c r="H34" s="16"/>
    </row>
    <row r="35" spans="1:8">
      <c r="A35" s="16"/>
      <c r="B35" s="16"/>
      <c r="C35" s="16"/>
      <c r="D35" s="16"/>
      <c r="E35" s="16"/>
      <c r="F35" s="16"/>
      <c r="G35" s="16"/>
      <c r="H35" s="16"/>
    </row>
    <row r="36" spans="1:8">
      <c r="A36" s="16"/>
      <c r="B36" s="16"/>
      <c r="C36" s="16"/>
      <c r="D36" s="16"/>
      <c r="E36" s="16"/>
      <c r="F36" s="16"/>
      <c r="G36" s="16"/>
      <c r="H36" s="16"/>
    </row>
    <row r="37" spans="1:8">
      <c r="A37" s="16"/>
      <c r="B37" s="16"/>
      <c r="C37" s="16"/>
      <c r="D37" s="16"/>
      <c r="E37" s="16"/>
      <c r="F37" s="16"/>
      <c r="G37" s="16"/>
      <c r="H37" s="16"/>
    </row>
    <row r="38" spans="1:8">
      <c r="A38" s="16"/>
      <c r="B38" s="16"/>
      <c r="C38" s="16"/>
      <c r="D38" s="16"/>
      <c r="E38" s="16"/>
      <c r="F38" s="16"/>
      <c r="G38" s="16"/>
      <c r="H38" s="16"/>
    </row>
    <row r="39" spans="1:8">
      <c r="A39" s="16"/>
      <c r="B39" s="16"/>
      <c r="C39" s="16"/>
      <c r="D39" s="16"/>
      <c r="E39" s="16"/>
      <c r="F39" s="16"/>
      <c r="G39" s="16"/>
      <c r="H39" s="16"/>
    </row>
    <row r="40" spans="1:8">
      <c r="A40" s="16"/>
      <c r="B40" s="16"/>
      <c r="C40" s="16"/>
      <c r="D40" s="16"/>
      <c r="E40" s="16"/>
      <c r="F40" s="16"/>
      <c r="G40" s="16"/>
      <c r="H40" s="16"/>
    </row>
    <row r="41" spans="1:8">
      <c r="A41" s="16"/>
      <c r="B41" s="16"/>
      <c r="C41" s="16"/>
      <c r="D41" s="16"/>
      <c r="E41" s="16"/>
      <c r="F41" s="16"/>
      <c r="G41" s="16"/>
      <c r="H41" s="16"/>
    </row>
    <row r="42" spans="1:8">
      <c r="A42" s="16"/>
      <c r="B42" s="16"/>
      <c r="C42" s="16"/>
      <c r="D42" s="16"/>
      <c r="E42" s="16"/>
      <c r="F42" s="16"/>
      <c r="G42" s="16"/>
      <c r="H42" s="16"/>
    </row>
    <row r="43" spans="1:8">
      <c r="A43" s="16"/>
      <c r="B43" s="16"/>
      <c r="C43" s="16"/>
      <c r="D43" s="16"/>
      <c r="E43" s="16"/>
      <c r="F43" s="16"/>
      <c r="G43" s="16"/>
      <c r="H43" s="16"/>
    </row>
    <row r="44" spans="1:8">
      <c r="A44" s="16"/>
      <c r="B44" s="16"/>
      <c r="C44" s="16"/>
      <c r="D44" s="16"/>
      <c r="E44" s="16"/>
      <c r="F44" s="16"/>
      <c r="G44" s="16"/>
      <c r="H44" s="16"/>
    </row>
    <row r="45" spans="1:8">
      <c r="A45" s="16"/>
      <c r="B45" s="16"/>
      <c r="C45" s="16"/>
      <c r="D45" s="16"/>
      <c r="E45" s="16"/>
      <c r="F45" s="16"/>
      <c r="G45" s="16"/>
      <c r="H45" s="16"/>
    </row>
    <row r="46" spans="1:8">
      <c r="A46" s="16"/>
      <c r="B46" s="16"/>
      <c r="C46" s="16"/>
      <c r="D46" s="16"/>
      <c r="E46" s="16"/>
      <c r="F46" s="16"/>
      <c r="G46" s="16"/>
      <c r="H46" s="16"/>
    </row>
    <row r="47" spans="1:8">
      <c r="A47" s="16"/>
      <c r="B47" s="16"/>
      <c r="C47" s="16"/>
      <c r="D47" s="16"/>
      <c r="E47" s="16"/>
      <c r="F47" s="16"/>
      <c r="G47" s="16"/>
      <c r="H47" s="16"/>
    </row>
    <row r="48" spans="1:8">
      <c r="A48" s="16"/>
      <c r="B48" s="16"/>
      <c r="C48" s="16"/>
      <c r="D48" s="16"/>
      <c r="E48" s="16"/>
      <c r="F48" s="16"/>
      <c r="G48" s="16"/>
      <c r="H48" s="16"/>
    </row>
    <row r="49" spans="1:8">
      <c r="A49" s="16"/>
      <c r="B49" s="16"/>
      <c r="C49" s="16"/>
      <c r="D49" s="16"/>
      <c r="E49" s="16"/>
      <c r="F49" s="16"/>
      <c r="G49" s="16"/>
      <c r="H49" s="16"/>
    </row>
    <row r="50" spans="1:8">
      <c r="A50" s="16"/>
      <c r="B50" s="16"/>
      <c r="C50" s="16"/>
      <c r="D50" s="16"/>
      <c r="E50" s="16"/>
      <c r="F50" s="16"/>
      <c r="G50" s="16"/>
      <c r="H50" s="16"/>
    </row>
    <row r="51" spans="1:8">
      <c r="A51" s="16"/>
      <c r="B51" s="16"/>
      <c r="C51" s="16"/>
      <c r="D51" s="16"/>
      <c r="E51" s="16"/>
      <c r="F51" s="16"/>
      <c r="G51" s="16"/>
      <c r="H51" s="16"/>
    </row>
    <row r="52" spans="1:8">
      <c r="A52" s="16"/>
      <c r="B52" s="16"/>
      <c r="C52" s="16"/>
      <c r="D52" s="16"/>
      <c r="E52" s="16"/>
      <c r="F52" s="16"/>
      <c r="G52" s="16"/>
      <c r="H52" s="16"/>
    </row>
    <row r="53" spans="1:8">
      <c r="A53" s="16"/>
      <c r="B53" s="16"/>
      <c r="C53" s="16"/>
      <c r="D53" s="16"/>
      <c r="E53" s="16"/>
      <c r="F53" s="16"/>
      <c r="G53" s="16"/>
      <c r="H53" s="16"/>
    </row>
    <row r="54" spans="1:8">
      <c r="A54" s="16"/>
      <c r="B54" s="16"/>
      <c r="C54" s="16"/>
      <c r="D54" s="16"/>
      <c r="E54" s="16"/>
      <c r="F54" s="16"/>
      <c r="G54" s="16"/>
      <c r="H54" s="16"/>
    </row>
    <row r="55" spans="1:8">
      <c r="A55" s="16"/>
      <c r="B55" s="16"/>
      <c r="C55" s="16"/>
      <c r="D55" s="16"/>
      <c r="E55" s="16"/>
      <c r="F55" s="16"/>
      <c r="G55" s="16"/>
      <c r="H55" s="16"/>
    </row>
    <row r="56" spans="1:8">
      <c r="A56" s="16"/>
      <c r="B56" s="16"/>
      <c r="C56" s="16"/>
      <c r="D56" s="16"/>
      <c r="E56" s="16"/>
      <c r="F56" s="16"/>
      <c r="G56" s="16"/>
      <c r="H56" s="16"/>
    </row>
    <row r="57" spans="1:8">
      <c r="A57" s="16"/>
      <c r="B57" s="16"/>
      <c r="C57" s="16"/>
      <c r="D57" s="16"/>
      <c r="E57" s="16"/>
      <c r="F57" s="16"/>
      <c r="G57" s="16"/>
      <c r="H57" s="16"/>
    </row>
    <row r="58" spans="1:8">
      <c r="A58" s="16"/>
      <c r="B58" s="16"/>
      <c r="C58" s="16"/>
      <c r="D58" s="16"/>
      <c r="E58" s="16"/>
      <c r="F58" s="16"/>
      <c r="G58" s="16"/>
      <c r="H58" s="16"/>
    </row>
    <row r="59" spans="1:8">
      <c r="A59" s="16"/>
      <c r="B59" s="16"/>
      <c r="C59" s="16"/>
      <c r="D59" s="16"/>
      <c r="E59" s="16"/>
      <c r="F59" s="16"/>
      <c r="G59" s="16"/>
      <c r="H59" s="16"/>
    </row>
    <row r="60" spans="1:8">
      <c r="A60" s="16"/>
      <c r="B60" s="16"/>
      <c r="C60" s="16"/>
      <c r="D60" s="16"/>
      <c r="E60" s="16"/>
      <c r="F60" s="16"/>
      <c r="G60" s="16"/>
      <c r="H60" s="16"/>
    </row>
    <row r="61" spans="1:8">
      <c r="A61" s="16"/>
      <c r="B61" s="16"/>
      <c r="C61" s="16"/>
      <c r="D61" s="16"/>
      <c r="E61" s="16"/>
      <c r="F61" s="16"/>
      <c r="G61" s="16"/>
      <c r="H61" s="16"/>
    </row>
    <row r="62" spans="1:8">
      <c r="A62" s="16"/>
      <c r="B62" s="16"/>
      <c r="C62" s="16"/>
      <c r="D62" s="16"/>
      <c r="E62" s="16"/>
      <c r="F62" s="16"/>
      <c r="G62" s="16"/>
      <c r="H62" s="16"/>
    </row>
    <row r="63" spans="1:8">
      <c r="A63" s="16"/>
      <c r="B63" s="16"/>
      <c r="C63" s="16"/>
      <c r="D63" s="16"/>
      <c r="E63" s="16"/>
      <c r="F63" s="16"/>
      <c r="G63" s="16"/>
      <c r="H63" s="16"/>
    </row>
    <row r="64" spans="1:8">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row r="72" spans="1:8">
      <c r="A72" s="16"/>
      <c r="B72" s="16"/>
      <c r="C72" s="16"/>
      <c r="D72" s="16"/>
      <c r="E72" s="16"/>
      <c r="F72" s="16"/>
      <c r="G72" s="16"/>
      <c r="H72" s="16"/>
    </row>
    <row r="73" spans="1:8">
      <c r="A73" s="16"/>
      <c r="B73" s="16"/>
      <c r="C73" s="16"/>
      <c r="D73" s="16"/>
      <c r="E73" s="16"/>
      <c r="F73" s="16"/>
      <c r="G73" s="16"/>
      <c r="H73" s="16"/>
    </row>
    <row r="74" spans="1:8">
      <c r="A74" s="16"/>
      <c r="B74" s="16"/>
      <c r="C74" s="16"/>
      <c r="D74" s="16"/>
      <c r="E74" s="16"/>
      <c r="F74" s="16"/>
      <c r="G74" s="16"/>
      <c r="H74" s="16"/>
    </row>
    <row r="75" spans="1:8">
      <c r="A75" s="16"/>
      <c r="B75" s="16"/>
      <c r="C75" s="16"/>
      <c r="D75" s="16"/>
      <c r="E75" s="16"/>
      <c r="F75" s="16"/>
      <c r="G75" s="16"/>
      <c r="H75" s="16"/>
    </row>
    <row r="76" spans="1:8">
      <c r="A76" s="16"/>
      <c r="B76" s="16"/>
      <c r="C76" s="16"/>
      <c r="D76" s="16"/>
      <c r="E76" s="16"/>
      <c r="F76" s="16"/>
      <c r="G76" s="16"/>
      <c r="H76" s="16"/>
    </row>
    <row r="77" spans="1:8">
      <c r="A77" s="16"/>
      <c r="B77" s="16"/>
      <c r="C77" s="16"/>
      <c r="D77" s="16"/>
      <c r="E77" s="16"/>
      <c r="F77" s="16"/>
      <c r="G77" s="16"/>
      <c r="H77" s="16"/>
    </row>
    <row r="78" spans="1:8">
      <c r="A78" s="16"/>
      <c r="B78" s="16"/>
      <c r="C78" s="16"/>
      <c r="D78" s="16"/>
      <c r="E78" s="16"/>
      <c r="F78" s="16"/>
      <c r="G78" s="16"/>
      <c r="H78" s="16"/>
    </row>
    <row r="79" spans="1:8">
      <c r="A79" s="16"/>
      <c r="B79" s="16"/>
      <c r="C79" s="16"/>
      <c r="D79" s="16"/>
      <c r="E79" s="16"/>
      <c r="F79" s="16"/>
      <c r="G79" s="16"/>
      <c r="H79" s="16"/>
    </row>
    <row r="80" spans="1:8">
      <c r="A80" s="16"/>
      <c r="B80" s="16"/>
      <c r="C80" s="16"/>
      <c r="D80" s="16"/>
      <c r="E80" s="16"/>
      <c r="F80" s="16"/>
      <c r="G80" s="16"/>
      <c r="H80" s="16"/>
    </row>
    <row r="81" spans="1:8">
      <c r="A81" s="16"/>
      <c r="B81" s="16"/>
      <c r="C81" s="16"/>
      <c r="D81" s="16"/>
      <c r="E81" s="16"/>
      <c r="F81" s="16"/>
      <c r="G81" s="16"/>
      <c r="H81" s="16"/>
    </row>
    <row r="82" spans="1:8">
      <c r="A82" s="16"/>
      <c r="B82" s="16"/>
      <c r="C82" s="16"/>
      <c r="D82" s="16"/>
      <c r="E82" s="16"/>
      <c r="F82" s="16"/>
      <c r="G82" s="16"/>
      <c r="H82" s="16"/>
    </row>
    <row r="83" spans="1:8">
      <c r="A83" s="16"/>
      <c r="B83" s="16"/>
      <c r="C83" s="16"/>
      <c r="D83" s="16"/>
      <c r="E83" s="16"/>
      <c r="F83" s="16"/>
      <c r="G83" s="16"/>
      <c r="H83" s="16"/>
    </row>
    <row r="84" spans="1:8">
      <c r="A84" s="16"/>
      <c r="B84" s="16"/>
      <c r="C84" s="16"/>
      <c r="D84" s="16"/>
      <c r="E84" s="16"/>
      <c r="F84" s="16"/>
      <c r="G84" s="16"/>
      <c r="H84" s="16"/>
    </row>
    <row r="85" spans="1:8">
      <c r="A85" s="16"/>
      <c r="B85" s="16"/>
      <c r="C85" s="16"/>
      <c r="D85" s="16"/>
      <c r="E85" s="16"/>
      <c r="F85" s="16"/>
      <c r="G85" s="16"/>
      <c r="H85" s="16"/>
    </row>
    <row r="86" spans="1:8">
      <c r="A86" s="16"/>
      <c r="B86" s="16"/>
      <c r="C86" s="16"/>
      <c r="D86" s="16"/>
      <c r="E86" s="16"/>
      <c r="F86" s="16"/>
      <c r="G86" s="16"/>
      <c r="H86" s="16"/>
    </row>
    <row r="87" spans="1:8">
      <c r="A87" s="16"/>
      <c r="B87" s="16"/>
      <c r="C87" s="16"/>
      <c r="D87" s="16"/>
      <c r="E87" s="16"/>
      <c r="F87" s="16"/>
      <c r="G87" s="16"/>
      <c r="H87" s="16"/>
    </row>
    <row r="88" spans="1:8">
      <c r="A88" s="16"/>
      <c r="B88" s="16"/>
      <c r="C88" s="16"/>
      <c r="D88" s="16"/>
      <c r="E88" s="16"/>
      <c r="F88" s="16"/>
      <c r="G88" s="16"/>
      <c r="H88" s="16"/>
    </row>
    <row r="89" spans="1:8">
      <c r="A89" s="16"/>
      <c r="B89" s="16"/>
      <c r="C89" s="16"/>
      <c r="D89" s="16"/>
      <c r="E89" s="16"/>
      <c r="F89" s="16"/>
      <c r="G89" s="16"/>
      <c r="H89" s="16"/>
    </row>
    <row r="90" spans="1:8">
      <c r="A90" s="16"/>
      <c r="B90" s="16"/>
      <c r="C90" s="16"/>
      <c r="D90" s="16"/>
      <c r="E90" s="16"/>
      <c r="F90" s="16"/>
      <c r="G90" s="16"/>
      <c r="H90" s="16"/>
    </row>
    <row r="91" spans="1:8">
      <c r="A91" s="16"/>
      <c r="B91" s="16"/>
      <c r="C91" s="16"/>
      <c r="D91" s="16"/>
      <c r="E91" s="16"/>
      <c r="F91" s="16"/>
      <c r="G91" s="16"/>
      <c r="H91" s="16"/>
    </row>
    <row r="92" spans="1:8">
      <c r="A92" s="16"/>
      <c r="B92" s="16"/>
      <c r="C92" s="16"/>
      <c r="D92" s="16"/>
      <c r="E92" s="16"/>
      <c r="F92" s="16"/>
      <c r="G92" s="16"/>
      <c r="H92" s="16"/>
    </row>
    <row r="93" spans="1:8">
      <c r="A93" s="16"/>
      <c r="B93" s="16"/>
      <c r="C93" s="16"/>
      <c r="D93" s="16"/>
      <c r="E93" s="16"/>
      <c r="F93" s="16"/>
      <c r="G93" s="16"/>
      <c r="H93" s="16"/>
    </row>
    <row r="94" spans="1:8">
      <c r="A94" s="16"/>
      <c r="B94" s="16"/>
      <c r="C94" s="16"/>
      <c r="D94" s="16"/>
      <c r="E94" s="16"/>
      <c r="F94" s="16"/>
      <c r="G94" s="16"/>
      <c r="H94" s="16"/>
    </row>
    <row r="95" spans="1:8">
      <c r="A95" s="16"/>
      <c r="B95" s="16"/>
      <c r="C95" s="16"/>
      <c r="D95" s="16"/>
      <c r="E95" s="16"/>
      <c r="F95" s="16"/>
      <c r="G95" s="16"/>
      <c r="H95" s="16"/>
    </row>
    <row r="96" spans="1:8">
      <c r="A96" s="16"/>
      <c r="B96" s="16"/>
      <c r="C96" s="16"/>
      <c r="D96" s="16"/>
      <c r="E96" s="16"/>
      <c r="F96" s="16"/>
      <c r="G96" s="16"/>
      <c r="H96" s="16"/>
    </row>
    <row r="97" spans="1:8">
      <c r="A97" s="16"/>
      <c r="B97" s="16"/>
      <c r="C97" s="16"/>
      <c r="D97" s="16"/>
      <c r="E97" s="16"/>
      <c r="F97" s="16"/>
      <c r="G97" s="16"/>
      <c r="H97" s="16"/>
    </row>
    <row r="98" spans="1:8">
      <c r="A98" s="16"/>
      <c r="B98" s="16"/>
      <c r="C98" s="16"/>
      <c r="D98" s="16"/>
      <c r="E98" s="16"/>
      <c r="F98" s="16"/>
      <c r="G98" s="16"/>
      <c r="H98" s="16"/>
    </row>
    <row r="99" spans="1:8">
      <c r="A99" s="16"/>
      <c r="B99" s="16"/>
      <c r="C99" s="16"/>
      <c r="D99" s="16"/>
      <c r="E99" s="16"/>
      <c r="F99" s="16"/>
      <c r="G99" s="16"/>
      <c r="H99" s="16"/>
    </row>
    <row r="100" spans="1:8">
      <c r="A100" s="16"/>
      <c r="B100" s="16"/>
      <c r="C100" s="16"/>
      <c r="D100" s="16"/>
      <c r="E100" s="16"/>
      <c r="F100" s="16"/>
      <c r="G100" s="16"/>
      <c r="H100" s="16"/>
    </row>
    <row r="101" spans="1:8">
      <c r="A101" s="16"/>
      <c r="B101" s="16"/>
      <c r="C101" s="16"/>
      <c r="D101" s="16"/>
      <c r="E101" s="16"/>
      <c r="F101" s="16"/>
      <c r="G101" s="16"/>
      <c r="H101" s="16"/>
    </row>
    <row r="102" spans="1:8">
      <c r="B102" s="16"/>
      <c r="C102" s="16"/>
      <c r="D102" s="16"/>
      <c r="E102" s="16"/>
      <c r="F102" s="16"/>
      <c r="G102" s="16"/>
      <c r="H102" s="16"/>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2"/>
  <sheetViews>
    <sheetView topLeftCell="E1" zoomScale="76" zoomScaleNormal="76" workbookViewId="0">
      <selection activeCell="B4" sqref="B4:Q10"/>
    </sheetView>
  </sheetViews>
  <sheetFormatPr baseColWidth="10" defaultColWidth="11.5" defaultRowHeight="14.25"/>
  <cols>
    <col min="2" max="2" width="16.5" customWidth="1"/>
    <col min="3" max="3" width="15.875" customWidth="1"/>
    <col min="4" max="4" width="17.375" customWidth="1"/>
    <col min="5" max="5" width="17.625" customWidth="1"/>
  </cols>
  <sheetData>
    <row r="1" spans="1:17" ht="15">
      <c r="A1" s="15"/>
      <c r="B1" s="15"/>
      <c r="C1" s="15"/>
      <c r="D1" s="15"/>
      <c r="E1" s="15"/>
      <c r="F1" s="15"/>
      <c r="G1" s="15"/>
      <c r="H1" s="15"/>
    </row>
    <row r="2" spans="1:17" ht="43.15" customHeight="1">
      <c r="A2" s="16"/>
      <c r="B2" s="15" t="s">
        <v>187</v>
      </c>
      <c r="C2" s="15"/>
      <c r="D2" s="15"/>
      <c r="E2" s="15"/>
      <c r="F2" s="15"/>
      <c r="G2" s="15"/>
      <c r="H2" s="15"/>
    </row>
    <row r="3" spans="1:17" ht="78" customHeight="1">
      <c r="A3" s="16" t="s">
        <v>54</v>
      </c>
      <c r="B3" s="20" t="s">
        <v>20</v>
      </c>
      <c r="C3" s="20" t="s">
        <v>21</v>
      </c>
      <c r="D3" s="21" t="s">
        <v>22</v>
      </c>
      <c r="E3" s="20" t="s">
        <v>23</v>
      </c>
      <c r="F3" s="20" t="s">
        <v>24</v>
      </c>
      <c r="G3" s="20" t="s">
        <v>25</v>
      </c>
      <c r="H3" s="20" t="s">
        <v>26</v>
      </c>
      <c r="I3" s="20" t="s">
        <v>27</v>
      </c>
      <c r="J3" s="20" t="s">
        <v>28</v>
      </c>
      <c r="K3" s="20" t="s">
        <v>29</v>
      </c>
      <c r="L3" s="20" t="s">
        <v>30</v>
      </c>
      <c r="M3" s="20" t="s">
        <v>31</v>
      </c>
      <c r="N3" s="20" t="s">
        <v>32</v>
      </c>
      <c r="O3" s="20" t="s">
        <v>33</v>
      </c>
      <c r="P3" s="20" t="s">
        <v>34</v>
      </c>
      <c r="Q3" s="20" t="s">
        <v>35</v>
      </c>
    </row>
    <row r="4" spans="1:17">
      <c r="A4" s="4" t="s">
        <v>101</v>
      </c>
      <c r="B4" s="27">
        <f>+'Analyse resultats'!BX94</f>
        <v>1</v>
      </c>
      <c r="C4" s="27">
        <f>+'Analyse resultats'!BY94</f>
        <v>1</v>
      </c>
      <c r="D4" s="27">
        <f>+'Analyse resultats'!BZ94</f>
        <v>1</v>
      </c>
      <c r="E4" s="27">
        <f>+'Analyse resultats'!CA94</f>
        <v>2</v>
      </c>
      <c r="F4" s="27">
        <f>+'Analyse resultats'!CB94</f>
        <v>2</v>
      </c>
      <c r="G4" s="27">
        <f>+'Analyse resultats'!CC94</f>
        <v>2</v>
      </c>
      <c r="H4" s="27">
        <f>+'Analyse resultats'!CD94</f>
        <v>2</v>
      </c>
      <c r="I4" s="27">
        <f>+'Analyse resultats'!CE94</f>
        <v>2</v>
      </c>
      <c r="J4" s="27">
        <f>+'Analyse resultats'!CF94</f>
        <v>2</v>
      </c>
      <c r="K4" s="27">
        <f>+'Analyse resultats'!CG94</f>
        <v>3</v>
      </c>
      <c r="L4" s="27">
        <f>+'Analyse resultats'!CH94</f>
        <v>3</v>
      </c>
      <c r="M4" s="27">
        <f>+'Analyse resultats'!CI94</f>
        <v>3</v>
      </c>
      <c r="N4" s="27">
        <f>+'Analyse resultats'!CJ94</f>
        <v>3</v>
      </c>
      <c r="O4" s="27">
        <f>+'Analyse resultats'!CK94</f>
        <v>3</v>
      </c>
      <c r="P4" s="27">
        <f>+'Analyse resultats'!CL94</f>
        <v>3</v>
      </c>
      <c r="Q4" s="27">
        <f>+'Analyse resultats'!CM94</f>
        <v>2</v>
      </c>
    </row>
    <row r="5" spans="1:17">
      <c r="A5" s="25" t="s">
        <v>74</v>
      </c>
      <c r="B5" s="27">
        <f>+'Analyse resultats'!BX95</f>
        <v>2</v>
      </c>
      <c r="C5" s="27">
        <f>+'Analyse resultats'!BY95</f>
        <v>0</v>
      </c>
      <c r="D5" s="27">
        <f>+'Analyse resultats'!BZ95</f>
        <v>2</v>
      </c>
      <c r="E5" s="27">
        <f>+'Analyse resultats'!CA95</f>
        <v>2</v>
      </c>
      <c r="F5" s="27">
        <f>+'Analyse resultats'!CB95</f>
        <v>2</v>
      </c>
      <c r="G5" s="27">
        <f>+'Analyse resultats'!CC95</f>
        <v>2</v>
      </c>
      <c r="H5" s="27">
        <f>+'Analyse resultats'!CD95</f>
        <v>0</v>
      </c>
      <c r="I5" s="27">
        <f>+'Analyse resultats'!CE95</f>
        <v>0</v>
      </c>
      <c r="J5" s="27">
        <f>+'Analyse resultats'!CF95</f>
        <v>2</v>
      </c>
      <c r="K5" s="27">
        <f>+'Analyse resultats'!CG95</f>
        <v>2</v>
      </c>
      <c r="L5" s="27">
        <f>+'Analyse resultats'!CH95</f>
        <v>2</v>
      </c>
      <c r="M5" s="27">
        <f>+'Analyse resultats'!CI95</f>
        <v>0</v>
      </c>
      <c r="N5" s="27">
        <f>+'Analyse resultats'!CJ95</f>
        <v>0</v>
      </c>
      <c r="O5" s="27">
        <f>+'Analyse resultats'!CK95</f>
        <v>2</v>
      </c>
      <c r="P5" s="27">
        <f>+'Analyse resultats'!CL95</f>
        <v>2</v>
      </c>
      <c r="Q5" s="27">
        <f>+'Analyse resultats'!CM95</f>
        <v>2</v>
      </c>
    </row>
    <row r="6" spans="1:17" ht="14.45" customHeight="1">
      <c r="A6" s="4" t="s">
        <v>42</v>
      </c>
      <c r="B6" s="27">
        <f>+'Analyse resultats'!BX96</f>
        <v>1</v>
      </c>
      <c r="C6" s="27">
        <f>+'Analyse resultats'!BY96</f>
        <v>1</v>
      </c>
      <c r="D6" s="27">
        <f>+'Analyse resultats'!BZ96</f>
        <v>1</v>
      </c>
      <c r="E6" s="27">
        <f>+'Analyse resultats'!CA96</f>
        <v>1</v>
      </c>
      <c r="F6" s="27">
        <f>+'Analyse resultats'!CB96</f>
        <v>1</v>
      </c>
      <c r="G6" s="27">
        <f>+'Analyse resultats'!CC96</f>
        <v>1</v>
      </c>
      <c r="H6" s="27">
        <f>+'Analyse resultats'!CD96</f>
        <v>2</v>
      </c>
      <c r="I6" s="27">
        <f>+'Analyse resultats'!CE96</f>
        <v>2</v>
      </c>
      <c r="J6" s="27">
        <f>+'Analyse resultats'!CF96</f>
        <v>1</v>
      </c>
      <c r="K6" s="27">
        <f>+'Analyse resultats'!CG96</f>
        <v>2</v>
      </c>
      <c r="L6" s="27">
        <f>+'Analyse resultats'!CH96</f>
        <v>2</v>
      </c>
      <c r="M6" s="27">
        <f>+'Analyse resultats'!CI96</f>
        <v>2</v>
      </c>
      <c r="N6" s="27">
        <f>+'Analyse resultats'!CJ96</f>
        <v>2</v>
      </c>
      <c r="O6" s="27">
        <f>+'Analyse resultats'!CK96</f>
        <v>2</v>
      </c>
      <c r="P6" s="27">
        <f>+'Analyse resultats'!CL96</f>
        <v>2</v>
      </c>
      <c r="Q6" s="27">
        <f>+'Analyse resultats'!CM96</f>
        <v>2</v>
      </c>
    </row>
    <row r="7" spans="1:17">
      <c r="A7" s="25" t="s">
        <v>137</v>
      </c>
      <c r="B7" s="27">
        <f>+'Analyse resultats'!BX97</f>
        <v>2</v>
      </c>
      <c r="C7" s="27">
        <f>+'Analyse resultats'!BY97</f>
        <v>1</v>
      </c>
      <c r="D7" s="27">
        <f>+'Analyse resultats'!BZ97</f>
        <v>2</v>
      </c>
      <c r="E7" s="27">
        <f>+'Analyse resultats'!CA97</f>
        <v>2</v>
      </c>
      <c r="F7" s="27">
        <f>+'Analyse resultats'!CB97</f>
        <v>2</v>
      </c>
      <c r="G7" s="27">
        <f>+'Analyse resultats'!CC97</f>
        <v>2</v>
      </c>
      <c r="H7" s="27">
        <f>+'Analyse resultats'!CD97</f>
        <v>1</v>
      </c>
      <c r="I7" s="27">
        <f>+'Analyse resultats'!CE97</f>
        <v>1</v>
      </c>
      <c r="J7" s="27">
        <f>+'Analyse resultats'!CF97</f>
        <v>2</v>
      </c>
      <c r="K7" s="27">
        <f>+'Analyse resultats'!CG97</f>
        <v>2</v>
      </c>
      <c r="L7" s="27">
        <f>+'Analyse resultats'!CH97</f>
        <v>2</v>
      </c>
      <c r="M7" s="27">
        <f>+'Analyse resultats'!CI97</f>
        <v>1</v>
      </c>
      <c r="N7" s="27">
        <f>+'Analyse resultats'!CJ97</f>
        <v>1</v>
      </c>
      <c r="O7" s="27">
        <f>+'Analyse resultats'!CK97</f>
        <v>2</v>
      </c>
      <c r="P7" s="27">
        <f>+'Analyse resultats'!CL97</f>
        <v>2</v>
      </c>
      <c r="Q7" s="27">
        <f>+'Analyse resultats'!CM97</f>
        <v>2</v>
      </c>
    </row>
    <row r="8" spans="1:17">
      <c r="A8" s="4" t="s">
        <v>58</v>
      </c>
      <c r="B8" s="27">
        <f>+'Analyse resultats'!BX98</f>
        <v>1</v>
      </c>
      <c r="C8" s="27">
        <f>+'Analyse resultats'!BY98</f>
        <v>1</v>
      </c>
      <c r="D8" s="27">
        <f>+'Analyse resultats'!BZ98</f>
        <v>1</v>
      </c>
      <c r="E8" s="27">
        <f>+'Analyse resultats'!CA98</f>
        <v>1</v>
      </c>
      <c r="F8" s="27">
        <f>+'Analyse resultats'!CB98</f>
        <v>1</v>
      </c>
      <c r="G8" s="27">
        <f>+'Analyse resultats'!CC98</f>
        <v>1</v>
      </c>
      <c r="H8" s="27">
        <f>+'Analyse resultats'!CD98</f>
        <v>1</v>
      </c>
      <c r="I8" s="27">
        <f>+'Analyse resultats'!CE98</f>
        <v>1</v>
      </c>
      <c r="J8" s="27">
        <f>+'Analyse resultats'!CF98</f>
        <v>1</v>
      </c>
      <c r="K8" s="27">
        <f>+'Analyse resultats'!CG98</f>
        <v>1</v>
      </c>
      <c r="L8" s="27">
        <f>+'Analyse resultats'!CH98</f>
        <v>1</v>
      </c>
      <c r="M8" s="27">
        <f>+'Analyse resultats'!CI98</f>
        <v>1</v>
      </c>
      <c r="N8" s="27">
        <f>+'Analyse resultats'!CJ98</f>
        <v>1</v>
      </c>
      <c r="O8" s="27">
        <f>+'Analyse resultats'!CK98</f>
        <v>1</v>
      </c>
      <c r="P8" s="27">
        <f>+'Analyse resultats'!CL98</f>
        <v>1</v>
      </c>
      <c r="Q8" s="27">
        <f>+'Analyse resultats'!CM98</f>
        <v>1</v>
      </c>
    </row>
    <row r="9" spans="1:17">
      <c r="A9" s="25" t="s">
        <v>168</v>
      </c>
      <c r="B9" s="27">
        <f>+'Analyse resultats'!BX99</f>
        <v>0</v>
      </c>
      <c r="C9" s="27">
        <f>+'Analyse resultats'!BY99</f>
        <v>0</v>
      </c>
      <c r="D9" s="27">
        <f>+'Analyse resultats'!BZ99</f>
        <v>0</v>
      </c>
      <c r="E9" s="27">
        <f>+'Analyse resultats'!CA99</f>
        <v>0</v>
      </c>
      <c r="F9" s="27">
        <f>+'Analyse resultats'!CB99</f>
        <v>0</v>
      </c>
      <c r="G9" s="27">
        <f>+'Analyse resultats'!CC99</f>
        <v>0</v>
      </c>
      <c r="H9" s="27">
        <f>+'Analyse resultats'!CD99</f>
        <v>0</v>
      </c>
      <c r="I9" s="27">
        <f>+'Analyse resultats'!CE99</f>
        <v>0</v>
      </c>
      <c r="J9" s="27">
        <f>+'Analyse resultats'!CF99</f>
        <v>0</v>
      </c>
      <c r="K9" s="27">
        <f>+'Analyse resultats'!CG99</f>
        <v>0</v>
      </c>
      <c r="L9" s="27">
        <f>+'Analyse resultats'!CH99</f>
        <v>0</v>
      </c>
      <c r="M9" s="27">
        <f>+'Analyse resultats'!CI99</f>
        <v>0</v>
      </c>
      <c r="N9" s="27">
        <f>+'Analyse resultats'!CJ99</f>
        <v>0</v>
      </c>
      <c r="O9" s="27">
        <f>+'Analyse resultats'!CK99</f>
        <v>0</v>
      </c>
      <c r="P9" s="27">
        <f>+'Analyse resultats'!CL99</f>
        <v>0</v>
      </c>
      <c r="Q9" s="27">
        <f>+'Analyse resultats'!CM99</f>
        <v>0</v>
      </c>
    </row>
    <row r="10" spans="1:17">
      <c r="A10" s="25" t="s">
        <v>180</v>
      </c>
      <c r="B10" s="27">
        <f>+'Analyse resultats'!BX100</f>
        <v>0</v>
      </c>
      <c r="C10" s="27">
        <f>+'Analyse resultats'!BY100</f>
        <v>0</v>
      </c>
      <c r="D10" s="27">
        <f>+'Analyse resultats'!BZ100</f>
        <v>0</v>
      </c>
      <c r="E10" s="27">
        <f>+'Analyse resultats'!CA100</f>
        <v>0</v>
      </c>
      <c r="F10" s="27">
        <f>+'Analyse resultats'!CB100</f>
        <v>0</v>
      </c>
      <c r="G10" s="27">
        <f>+'Analyse resultats'!CC100</f>
        <v>0</v>
      </c>
      <c r="H10" s="27">
        <f>+'Analyse resultats'!CD100</f>
        <v>0</v>
      </c>
      <c r="I10" s="27">
        <f>+'Analyse resultats'!CE100</f>
        <v>0</v>
      </c>
      <c r="J10" s="27">
        <f>+'Analyse resultats'!CF100</f>
        <v>0</v>
      </c>
      <c r="K10" s="27">
        <f>+'Analyse resultats'!CG100</f>
        <v>0</v>
      </c>
      <c r="L10" s="27">
        <f>+'Analyse resultats'!CH100</f>
        <v>0</v>
      </c>
      <c r="M10" s="27">
        <f>+'Analyse resultats'!CI100</f>
        <v>0</v>
      </c>
      <c r="N10" s="27">
        <f>+'Analyse resultats'!CJ100</f>
        <v>0</v>
      </c>
      <c r="O10" s="27">
        <f>+'Analyse resultats'!CK100</f>
        <v>0</v>
      </c>
      <c r="P10" s="27">
        <f>+'Analyse resultats'!CL100</f>
        <v>0</v>
      </c>
      <c r="Q10" s="27">
        <f>+'Analyse resultats'!CM100</f>
        <v>0</v>
      </c>
    </row>
    <row r="11" spans="1:17">
      <c r="A11" s="16"/>
      <c r="B11" s="16"/>
      <c r="C11" s="16"/>
      <c r="D11" s="16"/>
      <c r="E11" s="16"/>
      <c r="F11" s="16"/>
      <c r="G11" s="16"/>
      <c r="H11" s="16"/>
    </row>
    <row r="12" spans="1:17" ht="14.45" customHeight="1">
      <c r="A12" s="16"/>
      <c r="B12" s="16"/>
      <c r="C12" s="16"/>
      <c r="D12" s="16"/>
      <c r="E12" s="16"/>
      <c r="F12" s="16"/>
      <c r="G12" s="16"/>
      <c r="H12" s="16"/>
    </row>
    <row r="13" spans="1:17">
      <c r="A13" s="16"/>
      <c r="B13" s="16"/>
      <c r="C13" s="16"/>
      <c r="D13" s="16"/>
      <c r="E13" s="16"/>
      <c r="F13" s="16"/>
      <c r="G13" s="16"/>
      <c r="H13" s="16"/>
    </row>
    <row r="14" spans="1:17">
      <c r="A14" s="16"/>
      <c r="B14" s="16"/>
      <c r="C14" s="16"/>
      <c r="D14" s="16"/>
      <c r="E14" s="16"/>
      <c r="F14" s="16"/>
      <c r="G14" s="16"/>
      <c r="H14" s="16"/>
    </row>
    <row r="15" spans="1:17">
      <c r="A15" s="16"/>
      <c r="B15" s="16"/>
      <c r="C15" s="16"/>
      <c r="D15" s="16"/>
      <c r="E15" s="16"/>
      <c r="F15" s="16"/>
      <c r="G15" s="16"/>
      <c r="H15" s="16"/>
    </row>
    <row r="16" spans="1:17">
      <c r="A16" s="16"/>
      <c r="B16" s="16"/>
      <c r="C16" s="16"/>
      <c r="D16" s="16"/>
      <c r="E16" s="16"/>
      <c r="F16" s="16"/>
      <c r="G16" s="16"/>
      <c r="H16" s="16"/>
    </row>
    <row r="17" spans="1:8">
      <c r="A17" s="16"/>
      <c r="B17" s="16"/>
      <c r="C17" s="16"/>
      <c r="D17" s="16"/>
      <c r="E17" s="16"/>
      <c r="F17" s="16"/>
      <c r="G17" s="16"/>
      <c r="H17" s="16"/>
    </row>
    <row r="18" spans="1:8">
      <c r="A18" s="16"/>
      <c r="B18" s="16"/>
      <c r="C18" s="16"/>
      <c r="D18" s="16"/>
      <c r="E18" s="16"/>
      <c r="F18" s="16"/>
      <c r="G18" s="16"/>
      <c r="H18" s="16"/>
    </row>
    <row r="19" spans="1:8">
      <c r="A19" s="16"/>
      <c r="B19" s="16"/>
      <c r="C19" s="16"/>
      <c r="D19" s="16"/>
      <c r="E19" s="16"/>
      <c r="F19" s="16"/>
      <c r="G19" s="16"/>
      <c r="H19" s="16"/>
    </row>
    <row r="20" spans="1:8">
      <c r="A20" s="16"/>
      <c r="B20" s="16"/>
      <c r="C20" s="16"/>
      <c r="D20" s="16"/>
      <c r="E20" s="16"/>
      <c r="F20" s="16"/>
      <c r="G20" s="16"/>
      <c r="H20" s="16"/>
    </row>
    <row r="21" spans="1:8">
      <c r="A21" s="16"/>
      <c r="B21" s="16"/>
      <c r="C21" s="16"/>
      <c r="D21" s="16"/>
      <c r="E21" s="16"/>
      <c r="F21" s="16"/>
      <c r="G21" s="16"/>
      <c r="H21" s="16"/>
    </row>
    <row r="22" spans="1:8">
      <c r="A22" s="16"/>
      <c r="B22" s="16"/>
      <c r="C22" s="16"/>
      <c r="D22" s="16"/>
      <c r="E22" s="16"/>
      <c r="F22" s="16"/>
      <c r="G22" s="16"/>
      <c r="H22" s="16"/>
    </row>
    <row r="23" spans="1:8">
      <c r="A23" s="16"/>
      <c r="B23" s="16"/>
      <c r="C23" s="16"/>
      <c r="D23" s="16"/>
      <c r="E23" s="16"/>
      <c r="F23" s="16"/>
      <c r="G23" s="16"/>
      <c r="H23" s="16"/>
    </row>
    <row r="24" spans="1:8">
      <c r="A24" s="16"/>
      <c r="B24" s="16"/>
      <c r="C24" s="16"/>
      <c r="D24" s="16"/>
      <c r="E24" s="16"/>
      <c r="F24" s="16"/>
      <c r="G24" s="16"/>
      <c r="H24" s="16"/>
    </row>
    <row r="25" spans="1:8">
      <c r="A25" s="16"/>
      <c r="B25" s="16"/>
      <c r="C25" s="16"/>
      <c r="D25" s="16"/>
      <c r="E25" s="16"/>
      <c r="F25" s="16"/>
      <c r="G25" s="16"/>
      <c r="H25" s="16"/>
    </row>
    <row r="26" spans="1:8">
      <c r="A26" s="16"/>
      <c r="B26" s="16"/>
      <c r="C26" s="16"/>
      <c r="D26" s="16"/>
      <c r="E26" s="16"/>
      <c r="F26" s="16"/>
      <c r="G26" s="16"/>
      <c r="H26" s="16"/>
    </row>
    <row r="27" spans="1:8">
      <c r="A27" s="16"/>
      <c r="B27" s="16"/>
      <c r="C27" s="16"/>
      <c r="D27" s="16"/>
      <c r="E27" s="16"/>
      <c r="F27" s="16"/>
      <c r="G27" s="16"/>
      <c r="H27" s="16"/>
    </row>
    <row r="28" spans="1:8">
      <c r="A28" s="16"/>
      <c r="B28" s="16"/>
      <c r="C28" s="16"/>
      <c r="D28" s="16"/>
      <c r="E28" s="16"/>
      <c r="F28" s="16"/>
      <c r="G28" s="16"/>
      <c r="H28" s="16"/>
    </row>
    <row r="29" spans="1:8">
      <c r="A29" s="16"/>
      <c r="B29" s="16"/>
      <c r="C29" s="16"/>
      <c r="D29" s="16"/>
      <c r="E29" s="16"/>
      <c r="F29" s="16"/>
      <c r="G29" s="16"/>
      <c r="H29" s="16"/>
    </row>
    <row r="30" spans="1:8">
      <c r="A30" s="16"/>
      <c r="B30" s="16"/>
      <c r="C30" s="16"/>
      <c r="D30" s="16"/>
      <c r="E30" s="16"/>
      <c r="F30" s="16"/>
      <c r="G30" s="16"/>
      <c r="H30" s="16"/>
    </row>
    <row r="31" spans="1:8">
      <c r="A31" s="16"/>
      <c r="B31" s="16"/>
      <c r="C31" s="16"/>
      <c r="D31" s="16"/>
      <c r="E31" s="16"/>
      <c r="F31" s="16"/>
      <c r="G31" s="16"/>
      <c r="H31" s="16"/>
    </row>
    <row r="32" spans="1:8">
      <c r="A32" s="16"/>
      <c r="B32" s="16"/>
      <c r="C32" s="16"/>
      <c r="D32" s="16"/>
      <c r="E32" s="16"/>
      <c r="F32" s="16"/>
      <c r="G32" s="16"/>
      <c r="H32" s="16"/>
    </row>
    <row r="33" spans="1:8">
      <c r="A33" s="16"/>
      <c r="B33" s="16"/>
      <c r="C33" s="16"/>
      <c r="D33" s="16"/>
      <c r="E33" s="16"/>
      <c r="F33" s="16"/>
      <c r="G33" s="16"/>
      <c r="H33" s="16"/>
    </row>
    <row r="34" spans="1:8">
      <c r="A34" s="16"/>
      <c r="B34" s="16"/>
      <c r="C34" s="16"/>
      <c r="D34" s="16"/>
      <c r="E34" s="16"/>
      <c r="F34" s="16"/>
      <c r="G34" s="16"/>
      <c r="H34" s="16"/>
    </row>
    <row r="35" spans="1:8">
      <c r="A35" s="16"/>
      <c r="B35" s="16"/>
      <c r="C35" s="16"/>
      <c r="D35" s="16"/>
      <c r="E35" s="16"/>
      <c r="F35" s="16"/>
      <c r="G35" s="16"/>
      <c r="H35" s="16"/>
    </row>
    <row r="36" spans="1:8">
      <c r="A36" s="16"/>
      <c r="B36" s="16"/>
      <c r="C36" s="16"/>
      <c r="D36" s="16"/>
      <c r="E36" s="16"/>
      <c r="F36" s="16"/>
      <c r="G36" s="16"/>
      <c r="H36" s="16"/>
    </row>
    <row r="37" spans="1:8">
      <c r="A37" s="16"/>
      <c r="B37" s="16"/>
      <c r="C37" s="16"/>
      <c r="D37" s="16"/>
      <c r="E37" s="16"/>
      <c r="F37" s="16"/>
      <c r="G37" s="16"/>
      <c r="H37" s="16"/>
    </row>
    <row r="38" spans="1:8">
      <c r="A38" s="16"/>
      <c r="B38" s="16"/>
      <c r="C38" s="16"/>
      <c r="D38" s="16"/>
      <c r="E38" s="16"/>
      <c r="F38" s="16"/>
      <c r="G38" s="16"/>
      <c r="H38" s="16"/>
    </row>
    <row r="39" spans="1:8">
      <c r="A39" s="16"/>
      <c r="B39" s="16"/>
      <c r="C39" s="16"/>
      <c r="D39" s="16"/>
      <c r="E39" s="16"/>
      <c r="F39" s="16"/>
      <c r="G39" s="16"/>
      <c r="H39" s="16"/>
    </row>
    <row r="40" spans="1:8">
      <c r="A40" s="16"/>
      <c r="B40" s="16"/>
      <c r="C40" s="16"/>
      <c r="D40" s="16"/>
      <c r="E40" s="16"/>
      <c r="F40" s="16"/>
      <c r="G40" s="16"/>
      <c r="H40" s="16"/>
    </row>
    <row r="41" spans="1:8">
      <c r="A41" s="16"/>
      <c r="B41" s="16"/>
      <c r="C41" s="16"/>
      <c r="D41" s="16"/>
      <c r="E41" s="16"/>
      <c r="F41" s="16"/>
      <c r="G41" s="16"/>
      <c r="H41" s="16"/>
    </row>
    <row r="42" spans="1:8">
      <c r="A42" s="16"/>
      <c r="B42" s="16"/>
      <c r="C42" s="16"/>
      <c r="D42" s="16"/>
      <c r="E42" s="16"/>
      <c r="F42" s="16"/>
      <c r="G42" s="16"/>
      <c r="H42" s="16"/>
    </row>
    <row r="43" spans="1:8">
      <c r="A43" s="16"/>
      <c r="B43" s="16"/>
      <c r="C43" s="16"/>
      <c r="D43" s="16"/>
      <c r="E43" s="16"/>
      <c r="F43" s="16"/>
      <c r="G43" s="16"/>
      <c r="H43" s="16"/>
    </row>
    <row r="44" spans="1:8">
      <c r="A44" s="16"/>
      <c r="B44" s="16"/>
      <c r="C44" s="16"/>
      <c r="D44" s="16"/>
      <c r="E44" s="16"/>
      <c r="F44" s="16"/>
      <c r="G44" s="16"/>
      <c r="H44" s="16"/>
    </row>
    <row r="45" spans="1:8">
      <c r="A45" s="16"/>
      <c r="B45" s="16"/>
      <c r="C45" s="16"/>
      <c r="D45" s="16"/>
      <c r="E45" s="16"/>
      <c r="F45" s="16"/>
      <c r="G45" s="16"/>
      <c r="H45" s="16"/>
    </row>
    <row r="46" spans="1:8">
      <c r="A46" s="16"/>
      <c r="B46" s="16"/>
      <c r="C46" s="16"/>
      <c r="D46" s="16"/>
      <c r="E46" s="16"/>
      <c r="F46" s="16"/>
      <c r="G46" s="16"/>
      <c r="H46" s="16"/>
    </row>
    <row r="47" spans="1:8">
      <c r="A47" s="16"/>
      <c r="B47" s="16"/>
      <c r="C47" s="16"/>
      <c r="D47" s="16"/>
      <c r="E47" s="16"/>
      <c r="F47" s="16"/>
      <c r="G47" s="16"/>
      <c r="H47" s="16"/>
    </row>
    <row r="48" spans="1:8">
      <c r="A48" s="16"/>
      <c r="B48" s="16"/>
      <c r="C48" s="16"/>
      <c r="D48" s="16"/>
      <c r="E48" s="16"/>
      <c r="F48" s="16"/>
      <c r="G48" s="16"/>
      <c r="H48" s="16"/>
    </row>
    <row r="49" spans="1:8">
      <c r="A49" s="16"/>
      <c r="B49" s="16"/>
      <c r="C49" s="16"/>
      <c r="D49" s="16"/>
      <c r="E49" s="16"/>
      <c r="F49" s="16"/>
      <c r="G49" s="16"/>
      <c r="H49" s="16"/>
    </row>
    <row r="50" spans="1:8">
      <c r="A50" s="16"/>
      <c r="B50" s="16"/>
      <c r="C50" s="16"/>
      <c r="D50" s="16"/>
      <c r="E50" s="16"/>
      <c r="F50" s="16"/>
      <c r="G50" s="16"/>
      <c r="H50" s="16"/>
    </row>
    <row r="51" spans="1:8">
      <c r="A51" s="16"/>
      <c r="B51" s="16"/>
      <c r="C51" s="16"/>
      <c r="D51" s="16"/>
      <c r="E51" s="16"/>
      <c r="F51" s="16"/>
      <c r="G51" s="16"/>
      <c r="H51" s="16"/>
    </row>
    <row r="52" spans="1:8">
      <c r="A52" s="16"/>
      <c r="B52" s="16"/>
      <c r="C52" s="16"/>
      <c r="D52" s="16"/>
      <c r="E52" s="16"/>
      <c r="F52" s="16"/>
      <c r="G52" s="16"/>
      <c r="H52" s="16"/>
    </row>
    <row r="53" spans="1:8">
      <c r="A53" s="16"/>
      <c r="B53" s="16"/>
      <c r="C53" s="16"/>
      <c r="D53" s="16"/>
      <c r="E53" s="16"/>
      <c r="F53" s="16"/>
      <c r="G53" s="16"/>
      <c r="H53" s="16"/>
    </row>
    <row r="54" spans="1:8">
      <c r="A54" s="16"/>
      <c r="B54" s="16"/>
      <c r="C54" s="16"/>
      <c r="D54" s="16"/>
      <c r="E54" s="16"/>
      <c r="F54" s="16"/>
      <c r="G54" s="16"/>
      <c r="H54" s="16"/>
    </row>
    <row r="55" spans="1:8">
      <c r="A55" s="16"/>
      <c r="B55" s="16"/>
      <c r="C55" s="16"/>
      <c r="D55" s="16"/>
      <c r="E55" s="16"/>
      <c r="F55" s="16"/>
      <c r="G55" s="16"/>
      <c r="H55" s="16"/>
    </row>
    <row r="56" spans="1:8">
      <c r="A56" s="16"/>
      <c r="B56" s="16"/>
      <c r="C56" s="16"/>
      <c r="D56" s="16"/>
      <c r="E56" s="16"/>
      <c r="F56" s="16"/>
      <c r="G56" s="16"/>
      <c r="H56" s="16"/>
    </row>
    <row r="57" spans="1:8">
      <c r="A57" s="16"/>
      <c r="B57" s="16"/>
      <c r="C57" s="16"/>
      <c r="D57" s="16"/>
      <c r="E57" s="16"/>
      <c r="F57" s="16"/>
      <c r="G57" s="16"/>
      <c r="H57" s="16"/>
    </row>
    <row r="58" spans="1:8">
      <c r="A58" s="16"/>
      <c r="B58" s="16"/>
      <c r="C58" s="16"/>
      <c r="D58" s="16"/>
      <c r="E58" s="16"/>
      <c r="F58" s="16"/>
      <c r="G58" s="16"/>
      <c r="H58" s="16"/>
    </row>
    <row r="59" spans="1:8">
      <c r="A59" s="16"/>
      <c r="B59" s="16"/>
      <c r="C59" s="16"/>
      <c r="D59" s="16"/>
      <c r="E59" s="16"/>
      <c r="F59" s="16"/>
      <c r="G59" s="16"/>
      <c r="H59" s="16"/>
    </row>
    <row r="60" spans="1:8">
      <c r="A60" s="16"/>
      <c r="B60" s="16"/>
      <c r="C60" s="16"/>
      <c r="D60" s="16"/>
      <c r="E60" s="16"/>
      <c r="F60" s="16"/>
      <c r="G60" s="16"/>
      <c r="H60" s="16"/>
    </row>
    <row r="61" spans="1:8">
      <c r="A61" s="16"/>
      <c r="B61" s="16"/>
      <c r="C61" s="16"/>
      <c r="D61" s="16"/>
      <c r="E61" s="16"/>
      <c r="F61" s="16"/>
      <c r="G61" s="16"/>
      <c r="H61" s="16"/>
    </row>
    <row r="62" spans="1:8">
      <c r="A62" s="16"/>
      <c r="B62" s="16"/>
      <c r="C62" s="16"/>
      <c r="D62" s="16"/>
      <c r="E62" s="16"/>
      <c r="F62" s="16"/>
      <c r="G62" s="16"/>
      <c r="H62" s="16"/>
    </row>
    <row r="63" spans="1:8">
      <c r="A63" s="16"/>
      <c r="B63" s="16"/>
      <c r="C63" s="16"/>
      <c r="D63" s="16"/>
      <c r="E63" s="16"/>
      <c r="F63" s="16"/>
      <c r="G63" s="16"/>
      <c r="H63" s="16"/>
    </row>
    <row r="64" spans="1:8">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row r="72" spans="1:8">
      <c r="A72" s="16"/>
      <c r="B72" s="16"/>
      <c r="C72" s="16"/>
      <c r="D72" s="16"/>
      <c r="E72" s="16"/>
      <c r="F72" s="16"/>
      <c r="G72" s="16"/>
      <c r="H72" s="16"/>
    </row>
    <row r="73" spans="1:8">
      <c r="A73" s="16"/>
      <c r="B73" s="16"/>
      <c r="C73" s="16"/>
      <c r="D73" s="16"/>
      <c r="E73" s="16"/>
      <c r="F73" s="16"/>
      <c r="G73" s="16"/>
      <c r="H73" s="16"/>
    </row>
    <row r="74" spans="1:8">
      <c r="A74" s="16"/>
      <c r="B74" s="16"/>
      <c r="C74" s="16"/>
      <c r="D74" s="16"/>
      <c r="E74" s="16"/>
      <c r="F74" s="16"/>
      <c r="G74" s="16"/>
      <c r="H74" s="16"/>
    </row>
    <row r="75" spans="1:8">
      <c r="A75" s="16"/>
      <c r="B75" s="16"/>
      <c r="C75" s="16"/>
      <c r="D75" s="16"/>
      <c r="E75" s="16"/>
      <c r="F75" s="16"/>
      <c r="G75" s="16"/>
      <c r="H75" s="16"/>
    </row>
    <row r="76" spans="1:8">
      <c r="A76" s="16"/>
      <c r="B76" s="16"/>
      <c r="C76" s="16"/>
      <c r="D76" s="16"/>
      <c r="E76" s="16"/>
      <c r="F76" s="16"/>
      <c r="G76" s="16"/>
      <c r="H76" s="16"/>
    </row>
    <row r="77" spans="1:8">
      <c r="A77" s="16"/>
      <c r="B77" s="16"/>
      <c r="C77" s="16"/>
      <c r="D77" s="16"/>
      <c r="E77" s="16"/>
      <c r="F77" s="16"/>
      <c r="G77" s="16"/>
      <c r="H77" s="16"/>
    </row>
    <row r="78" spans="1:8">
      <c r="A78" s="16"/>
      <c r="B78" s="16"/>
      <c r="C78" s="16"/>
      <c r="D78" s="16"/>
      <c r="E78" s="16"/>
      <c r="F78" s="16"/>
      <c r="G78" s="16"/>
      <c r="H78" s="16"/>
    </row>
    <row r="79" spans="1:8">
      <c r="A79" s="16"/>
      <c r="B79" s="16"/>
      <c r="C79" s="16"/>
      <c r="D79" s="16"/>
      <c r="E79" s="16"/>
      <c r="F79" s="16"/>
      <c r="G79" s="16"/>
      <c r="H79" s="16"/>
    </row>
    <row r="80" spans="1:8">
      <c r="A80" s="16"/>
      <c r="B80" s="16"/>
      <c r="C80" s="16"/>
      <c r="D80" s="16"/>
      <c r="E80" s="16"/>
      <c r="F80" s="16"/>
      <c r="G80" s="16"/>
      <c r="H80" s="16"/>
    </row>
    <row r="81" spans="1:8">
      <c r="A81" s="16"/>
      <c r="B81" s="16"/>
      <c r="C81" s="16"/>
      <c r="D81" s="16"/>
      <c r="E81" s="16"/>
      <c r="F81" s="16"/>
      <c r="G81" s="16"/>
      <c r="H81" s="16"/>
    </row>
    <row r="82" spans="1:8">
      <c r="A82" s="16"/>
      <c r="B82" s="16"/>
      <c r="C82" s="16"/>
      <c r="D82" s="16"/>
      <c r="E82" s="16"/>
      <c r="F82" s="16"/>
      <c r="G82" s="16"/>
      <c r="H82" s="16"/>
    </row>
    <row r="83" spans="1:8">
      <c r="A83" s="16"/>
      <c r="B83" s="16"/>
      <c r="C83" s="16"/>
      <c r="D83" s="16"/>
      <c r="E83" s="16"/>
      <c r="F83" s="16"/>
      <c r="G83" s="16"/>
      <c r="H83" s="16"/>
    </row>
    <row r="84" spans="1:8">
      <c r="A84" s="16"/>
      <c r="B84" s="16"/>
      <c r="C84" s="16"/>
      <c r="D84" s="16"/>
      <c r="E84" s="16"/>
      <c r="F84" s="16"/>
      <c r="G84" s="16"/>
      <c r="H84" s="16"/>
    </row>
    <row r="85" spans="1:8">
      <c r="A85" s="16"/>
      <c r="B85" s="16"/>
      <c r="C85" s="16"/>
      <c r="D85" s="16"/>
      <c r="E85" s="16"/>
      <c r="F85" s="16"/>
      <c r="G85" s="16"/>
      <c r="H85" s="16"/>
    </row>
    <row r="86" spans="1:8">
      <c r="A86" s="16"/>
      <c r="B86" s="16"/>
      <c r="C86" s="16"/>
      <c r="D86" s="16"/>
      <c r="E86" s="16"/>
      <c r="F86" s="16"/>
      <c r="G86" s="16"/>
      <c r="H86" s="16"/>
    </row>
    <row r="87" spans="1:8">
      <c r="A87" s="16"/>
      <c r="B87" s="16"/>
      <c r="C87" s="16"/>
      <c r="D87" s="16"/>
      <c r="E87" s="16"/>
      <c r="F87" s="16"/>
      <c r="G87" s="16"/>
      <c r="H87" s="16"/>
    </row>
    <row r="88" spans="1:8">
      <c r="A88" s="16"/>
      <c r="B88" s="16"/>
      <c r="C88" s="16"/>
      <c r="D88" s="16"/>
      <c r="E88" s="16"/>
      <c r="F88" s="16"/>
      <c r="G88" s="16"/>
      <c r="H88" s="16"/>
    </row>
    <row r="89" spans="1:8">
      <c r="A89" s="16"/>
      <c r="B89" s="16"/>
      <c r="C89" s="16"/>
      <c r="D89" s="16"/>
      <c r="E89" s="16"/>
      <c r="F89" s="16"/>
      <c r="G89" s="16"/>
      <c r="H89" s="16"/>
    </row>
    <row r="90" spans="1:8">
      <c r="A90" s="16"/>
      <c r="B90" s="16"/>
      <c r="C90" s="16"/>
      <c r="D90" s="16"/>
      <c r="E90" s="16"/>
      <c r="F90" s="16"/>
      <c r="G90" s="16"/>
      <c r="H90" s="16"/>
    </row>
    <row r="91" spans="1:8">
      <c r="A91" s="16"/>
      <c r="B91" s="16"/>
      <c r="C91" s="16"/>
      <c r="D91" s="16"/>
      <c r="E91" s="16"/>
      <c r="F91" s="16"/>
      <c r="G91" s="16"/>
      <c r="H91" s="16"/>
    </row>
    <row r="92" spans="1:8">
      <c r="A92" s="16"/>
      <c r="B92" s="16"/>
      <c r="C92" s="16"/>
      <c r="D92" s="16"/>
      <c r="E92" s="16"/>
      <c r="F92" s="16"/>
      <c r="G92" s="16"/>
      <c r="H92" s="16"/>
    </row>
    <row r="93" spans="1:8">
      <c r="A93" s="16"/>
      <c r="B93" s="16"/>
      <c r="C93" s="16"/>
      <c r="D93" s="16"/>
      <c r="E93" s="16"/>
      <c r="F93" s="16"/>
      <c r="G93" s="16"/>
      <c r="H93" s="16"/>
    </row>
    <row r="94" spans="1:8">
      <c r="A94" s="16"/>
      <c r="B94" s="16"/>
      <c r="C94" s="16"/>
      <c r="D94" s="16"/>
      <c r="E94" s="16"/>
      <c r="F94" s="16"/>
      <c r="G94" s="16"/>
      <c r="H94" s="16"/>
    </row>
    <row r="95" spans="1:8">
      <c r="A95" s="16"/>
      <c r="B95" s="16"/>
      <c r="C95" s="16"/>
      <c r="D95" s="16"/>
      <c r="E95" s="16"/>
      <c r="F95" s="16"/>
      <c r="G95" s="16"/>
      <c r="H95" s="16"/>
    </row>
    <row r="96" spans="1:8">
      <c r="A96" s="16"/>
      <c r="B96" s="16"/>
      <c r="C96" s="16"/>
      <c r="D96" s="16"/>
      <c r="E96" s="16"/>
      <c r="F96" s="16"/>
      <c r="G96" s="16"/>
      <c r="H96" s="16"/>
    </row>
    <row r="97" spans="1:8">
      <c r="A97" s="16"/>
      <c r="B97" s="16"/>
      <c r="C97" s="16"/>
      <c r="D97" s="16"/>
      <c r="E97" s="16"/>
      <c r="F97" s="16"/>
      <c r="G97" s="16"/>
      <c r="H97" s="16"/>
    </row>
    <row r="98" spans="1:8">
      <c r="A98" s="16"/>
      <c r="B98" s="16"/>
      <c r="C98" s="16"/>
      <c r="D98" s="16"/>
      <c r="E98" s="16"/>
      <c r="F98" s="16"/>
      <c r="G98" s="16"/>
      <c r="H98" s="16"/>
    </row>
    <row r="99" spans="1:8">
      <c r="A99" s="16"/>
      <c r="B99" s="16"/>
      <c r="C99" s="16"/>
      <c r="D99" s="16"/>
      <c r="E99" s="16"/>
      <c r="F99" s="16"/>
      <c r="G99" s="16"/>
      <c r="H99" s="16"/>
    </row>
    <row r="100" spans="1:8">
      <c r="A100" s="16"/>
      <c r="B100" s="16"/>
      <c r="C100" s="16"/>
      <c r="D100" s="16"/>
      <c r="E100" s="16"/>
      <c r="F100" s="16"/>
      <c r="G100" s="16"/>
      <c r="H100" s="16"/>
    </row>
    <row r="101" spans="1:8">
      <c r="A101" s="16"/>
      <c r="B101" s="16"/>
      <c r="C101" s="16"/>
      <c r="D101" s="16"/>
      <c r="E101" s="16"/>
      <c r="F101" s="16"/>
      <c r="G101" s="16"/>
      <c r="H101" s="16"/>
    </row>
    <row r="102" spans="1:8">
      <c r="B102" s="16"/>
      <c r="C102" s="16"/>
      <c r="D102" s="16"/>
      <c r="E102" s="16"/>
      <c r="F102" s="16"/>
      <c r="G102" s="16"/>
      <c r="H102" s="16"/>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2"/>
  <sheetViews>
    <sheetView topLeftCell="E1" zoomScale="76" zoomScaleNormal="76" workbookViewId="0">
      <selection activeCell="B4" sqref="B4:Q10"/>
    </sheetView>
  </sheetViews>
  <sheetFormatPr baseColWidth="10" defaultColWidth="11.5" defaultRowHeight="14.25"/>
  <cols>
    <col min="2" max="2" width="16.5" customWidth="1"/>
    <col min="3" max="3" width="15.875" customWidth="1"/>
    <col min="4" max="4" width="17.375" customWidth="1"/>
    <col min="5" max="5" width="17.625" customWidth="1"/>
  </cols>
  <sheetData>
    <row r="1" spans="1:17" ht="15">
      <c r="A1" s="15"/>
      <c r="B1" s="15"/>
      <c r="C1" s="15"/>
      <c r="D1" s="15"/>
      <c r="E1" s="15"/>
      <c r="F1" s="15"/>
      <c r="G1" s="15"/>
      <c r="H1" s="15"/>
    </row>
    <row r="2" spans="1:17" ht="43.15" customHeight="1">
      <c r="A2" s="16"/>
      <c r="B2" s="15" t="s">
        <v>188</v>
      </c>
      <c r="C2" s="15"/>
      <c r="D2" s="15"/>
      <c r="E2" s="15"/>
      <c r="F2" s="15"/>
      <c r="G2" s="15"/>
      <c r="H2" s="15"/>
    </row>
    <row r="3" spans="1:17" ht="78" customHeight="1">
      <c r="A3" s="16" t="s">
        <v>54</v>
      </c>
      <c r="B3" s="20" t="s">
        <v>20</v>
      </c>
      <c r="C3" s="20" t="s">
        <v>21</v>
      </c>
      <c r="D3" s="21" t="s">
        <v>22</v>
      </c>
      <c r="E3" s="20" t="s">
        <v>23</v>
      </c>
      <c r="F3" s="20" t="s">
        <v>24</v>
      </c>
      <c r="G3" s="20" t="s">
        <v>25</v>
      </c>
      <c r="H3" s="20" t="s">
        <v>26</v>
      </c>
      <c r="I3" s="20" t="s">
        <v>27</v>
      </c>
      <c r="J3" s="20" t="s">
        <v>28</v>
      </c>
      <c r="K3" s="20" t="s">
        <v>29</v>
      </c>
      <c r="L3" s="20" t="s">
        <v>30</v>
      </c>
      <c r="M3" s="20" t="s">
        <v>31</v>
      </c>
      <c r="N3" s="20" t="s">
        <v>32</v>
      </c>
      <c r="O3" s="20" t="s">
        <v>33</v>
      </c>
      <c r="P3" s="20" t="s">
        <v>34</v>
      </c>
      <c r="Q3" s="20" t="s">
        <v>35</v>
      </c>
    </row>
    <row r="4" spans="1:17">
      <c r="A4" s="4" t="s">
        <v>101</v>
      </c>
      <c r="B4" s="27">
        <f>+'Analyse resultats'!CP94</f>
        <v>3</v>
      </c>
      <c r="C4" s="27">
        <f>+'Analyse resultats'!CQ94</f>
        <v>3</v>
      </c>
      <c r="D4" s="27">
        <f>+'Analyse resultats'!CR94</f>
        <v>1</v>
      </c>
      <c r="E4" s="27">
        <f>+'Analyse resultats'!CS94</f>
        <v>1</v>
      </c>
      <c r="F4" s="27">
        <f>+'Analyse resultats'!CT94</f>
        <v>4</v>
      </c>
      <c r="G4" s="27">
        <f>+'Analyse resultats'!CU94</f>
        <v>4</v>
      </c>
      <c r="H4" s="27">
        <f>+'Analyse resultats'!CV94</f>
        <v>4</v>
      </c>
      <c r="I4" s="27">
        <f>+'Analyse resultats'!CW94</f>
        <v>4</v>
      </c>
      <c r="J4" s="27">
        <f>+'Analyse resultats'!CX94</f>
        <v>4</v>
      </c>
      <c r="K4" s="27">
        <f>+'Analyse resultats'!CY94</f>
        <v>4</v>
      </c>
      <c r="L4" s="27">
        <f>+'Analyse resultats'!CZ94</f>
        <v>4</v>
      </c>
      <c r="M4" s="27">
        <f>+'Analyse resultats'!DA94</f>
        <v>4</v>
      </c>
      <c r="N4" s="27">
        <f>+'Analyse resultats'!DB94</f>
        <v>4</v>
      </c>
      <c r="O4" s="27">
        <f>+'Analyse resultats'!DC94</f>
        <v>4</v>
      </c>
      <c r="P4" s="27">
        <f>+'Analyse resultats'!DD94</f>
        <v>4</v>
      </c>
      <c r="Q4" s="27">
        <f>+'Analyse resultats'!DE94</f>
        <v>4</v>
      </c>
    </row>
    <row r="5" spans="1:17">
      <c r="A5" s="25" t="s">
        <v>74</v>
      </c>
      <c r="B5" s="27">
        <f>+'Analyse resultats'!CP95</f>
        <v>3</v>
      </c>
      <c r="C5" s="27">
        <f>+'Analyse resultats'!CQ95</f>
        <v>1</v>
      </c>
      <c r="D5" s="27">
        <f>+'Analyse resultats'!CR95</f>
        <v>3</v>
      </c>
      <c r="E5" s="27">
        <f>+'Analyse resultats'!CS95</f>
        <v>3</v>
      </c>
      <c r="F5" s="27">
        <f>+'Analyse resultats'!CT95</f>
        <v>3</v>
      </c>
      <c r="G5" s="27">
        <f>+'Analyse resultats'!CU95</f>
        <v>3</v>
      </c>
      <c r="H5" s="27">
        <f>+'Analyse resultats'!CV95</f>
        <v>1</v>
      </c>
      <c r="I5" s="27">
        <f>+'Analyse resultats'!CW95</f>
        <v>1</v>
      </c>
      <c r="J5" s="27">
        <f>+'Analyse resultats'!CX95</f>
        <v>3</v>
      </c>
      <c r="K5" s="27">
        <f>+'Analyse resultats'!CY95</f>
        <v>3</v>
      </c>
      <c r="L5" s="27">
        <f>+'Analyse resultats'!CZ95</f>
        <v>3</v>
      </c>
      <c r="M5" s="27">
        <f>+'Analyse resultats'!DA95</f>
        <v>1</v>
      </c>
      <c r="N5" s="27">
        <f>+'Analyse resultats'!DB95</f>
        <v>1</v>
      </c>
      <c r="O5" s="27">
        <f>+'Analyse resultats'!DC95</f>
        <v>3</v>
      </c>
      <c r="P5" s="27">
        <f>+'Analyse resultats'!DD95</f>
        <v>3</v>
      </c>
      <c r="Q5" s="27">
        <f>+'Analyse resultats'!DE95</f>
        <v>3</v>
      </c>
    </row>
    <row r="6" spans="1:17" ht="14.45" customHeight="1">
      <c r="A6" s="4" t="s">
        <v>42</v>
      </c>
      <c r="B6" s="27">
        <f>+'Analyse resultats'!CP96</f>
        <v>2</v>
      </c>
      <c r="C6" s="27">
        <f>+'Analyse resultats'!CQ96</f>
        <v>2</v>
      </c>
      <c r="D6" s="27">
        <f>+'Analyse resultats'!CR96</f>
        <v>2</v>
      </c>
      <c r="E6" s="27">
        <f>+'Analyse resultats'!CS96</f>
        <v>2</v>
      </c>
      <c r="F6" s="27">
        <f>+'Analyse resultats'!CT96</f>
        <v>2</v>
      </c>
      <c r="G6" s="27">
        <f>+'Analyse resultats'!CU96</f>
        <v>2</v>
      </c>
      <c r="H6" s="27">
        <f>+'Analyse resultats'!CV96</f>
        <v>1</v>
      </c>
      <c r="I6" s="27">
        <f>+'Analyse resultats'!CW96</f>
        <v>1</v>
      </c>
      <c r="J6" s="27">
        <f>+'Analyse resultats'!CX96</f>
        <v>1</v>
      </c>
      <c r="K6" s="27">
        <f>+'Analyse resultats'!CY96</f>
        <v>1</v>
      </c>
      <c r="L6" s="27">
        <f>+'Analyse resultats'!CZ96</f>
        <v>1</v>
      </c>
      <c r="M6" s="27">
        <f>+'Analyse resultats'!DA96</f>
        <v>1</v>
      </c>
      <c r="N6" s="27">
        <f>+'Analyse resultats'!DB96</f>
        <v>1</v>
      </c>
      <c r="O6" s="27">
        <f>+'Analyse resultats'!DC96</f>
        <v>1</v>
      </c>
      <c r="P6" s="27">
        <f>+'Analyse resultats'!DD96</f>
        <v>1</v>
      </c>
      <c r="Q6" s="27">
        <f>+'Analyse resultats'!DE96</f>
        <v>1</v>
      </c>
    </row>
    <row r="7" spans="1:17">
      <c r="A7" s="25" t="s">
        <v>137</v>
      </c>
      <c r="B7" s="27">
        <f>+'Analyse resultats'!CP97</f>
        <v>6</v>
      </c>
      <c r="C7" s="27">
        <f>+'Analyse resultats'!CQ97</f>
        <v>5</v>
      </c>
      <c r="D7" s="27">
        <f>+'Analyse resultats'!CR97</f>
        <v>7</v>
      </c>
      <c r="E7" s="27">
        <f>+'Analyse resultats'!CS97</f>
        <v>6</v>
      </c>
      <c r="F7" s="27">
        <f>+'Analyse resultats'!CT97</f>
        <v>7</v>
      </c>
      <c r="G7" s="27">
        <f>+'Analyse resultats'!CU97</f>
        <v>7</v>
      </c>
      <c r="H7" s="27">
        <f>+'Analyse resultats'!CV97</f>
        <v>6</v>
      </c>
      <c r="I7" s="27">
        <f>+'Analyse resultats'!CW97</f>
        <v>6</v>
      </c>
      <c r="J7" s="27">
        <f>+'Analyse resultats'!CX97</f>
        <v>7</v>
      </c>
      <c r="K7" s="27">
        <f>+'Analyse resultats'!CY97</f>
        <v>7</v>
      </c>
      <c r="L7" s="27">
        <f>+'Analyse resultats'!CZ97</f>
        <v>7</v>
      </c>
      <c r="M7" s="27">
        <f>+'Analyse resultats'!DA97</f>
        <v>6</v>
      </c>
      <c r="N7" s="27">
        <f>+'Analyse resultats'!DB97</f>
        <v>6</v>
      </c>
      <c r="O7" s="27">
        <f>+'Analyse resultats'!DC97</f>
        <v>7</v>
      </c>
      <c r="P7" s="27">
        <f>+'Analyse resultats'!DD97</f>
        <v>7</v>
      </c>
      <c r="Q7" s="27">
        <f>+'Analyse resultats'!DE97</f>
        <v>7</v>
      </c>
    </row>
    <row r="8" spans="1:17">
      <c r="A8" s="4" t="s">
        <v>58</v>
      </c>
      <c r="B8" s="27">
        <f>+'Analyse resultats'!CP98</f>
        <v>2</v>
      </c>
      <c r="C8" s="27">
        <f>+'Analyse resultats'!CQ98</f>
        <v>2</v>
      </c>
      <c r="D8" s="27">
        <f>+'Analyse resultats'!CR98</f>
        <v>2</v>
      </c>
      <c r="E8" s="27">
        <f>+'Analyse resultats'!CS98</f>
        <v>3</v>
      </c>
      <c r="F8" s="27">
        <f>+'Analyse resultats'!CT98</f>
        <v>3</v>
      </c>
      <c r="G8" s="27">
        <f>+'Analyse resultats'!CU98</f>
        <v>3</v>
      </c>
      <c r="H8" s="27">
        <f>+'Analyse resultats'!CV98</f>
        <v>3</v>
      </c>
      <c r="I8" s="27">
        <f>+'Analyse resultats'!CW98</f>
        <v>3</v>
      </c>
      <c r="J8" s="27">
        <f>+'Analyse resultats'!CX98</f>
        <v>3</v>
      </c>
      <c r="K8" s="27">
        <f>+'Analyse resultats'!CY98</f>
        <v>3</v>
      </c>
      <c r="L8" s="27">
        <f>+'Analyse resultats'!CZ98</f>
        <v>4</v>
      </c>
      <c r="M8" s="27">
        <f>+'Analyse resultats'!DA98</f>
        <v>4</v>
      </c>
      <c r="N8" s="27">
        <f>+'Analyse resultats'!DB98</f>
        <v>4</v>
      </c>
      <c r="O8" s="27">
        <f>+'Analyse resultats'!DC98</f>
        <v>4</v>
      </c>
      <c r="P8" s="27">
        <f>+'Analyse resultats'!DD98</f>
        <v>4</v>
      </c>
      <c r="Q8" s="27">
        <f>+'Analyse resultats'!DE98</f>
        <v>4</v>
      </c>
    </row>
    <row r="9" spans="1:17">
      <c r="A9" s="25" t="s">
        <v>168</v>
      </c>
      <c r="B9" s="27">
        <f>+'Analyse resultats'!CP99</f>
        <v>2</v>
      </c>
      <c r="C9" s="27">
        <f>+'Analyse resultats'!CQ99</f>
        <v>3</v>
      </c>
      <c r="D9" s="27">
        <f>+'Analyse resultats'!CR99</f>
        <v>3</v>
      </c>
      <c r="E9" s="27">
        <f>+'Analyse resultats'!CS99</f>
        <v>3</v>
      </c>
      <c r="F9" s="27">
        <f>+'Analyse resultats'!CT99</f>
        <v>3</v>
      </c>
      <c r="G9" s="27">
        <f>+'Analyse resultats'!CU99</f>
        <v>3</v>
      </c>
      <c r="H9" s="27">
        <f>+'Analyse resultats'!CV99</f>
        <v>3</v>
      </c>
      <c r="I9" s="27">
        <f>+'Analyse resultats'!CW99</f>
        <v>3</v>
      </c>
      <c r="J9" s="27">
        <f>+'Analyse resultats'!CX99</f>
        <v>3</v>
      </c>
      <c r="K9" s="27">
        <f>+'Analyse resultats'!CY99</f>
        <v>3</v>
      </c>
      <c r="L9" s="27">
        <f>+'Analyse resultats'!CZ99</f>
        <v>3</v>
      </c>
      <c r="M9" s="27">
        <f>+'Analyse resultats'!DA99</f>
        <v>3</v>
      </c>
      <c r="N9" s="27">
        <f>+'Analyse resultats'!DB99</f>
        <v>3</v>
      </c>
      <c r="O9" s="27">
        <f>+'Analyse resultats'!DC99</f>
        <v>3</v>
      </c>
      <c r="P9" s="27">
        <f>+'Analyse resultats'!DD99</f>
        <v>3</v>
      </c>
      <c r="Q9" s="27">
        <f>+'Analyse resultats'!DE99</f>
        <v>3</v>
      </c>
    </row>
    <row r="10" spans="1:17">
      <c r="A10" s="25" t="s">
        <v>180</v>
      </c>
      <c r="B10" s="27">
        <f>+'Analyse resultats'!CP100</f>
        <v>0</v>
      </c>
      <c r="C10" s="27">
        <f>+'Analyse resultats'!CQ100</f>
        <v>0</v>
      </c>
      <c r="D10" s="27">
        <f>+'Analyse resultats'!CR100</f>
        <v>0</v>
      </c>
      <c r="E10" s="27">
        <f>+'Analyse resultats'!CS100</f>
        <v>0</v>
      </c>
      <c r="F10" s="27">
        <f>+'Analyse resultats'!CT100</f>
        <v>0</v>
      </c>
      <c r="G10" s="27">
        <f>+'Analyse resultats'!CU100</f>
        <v>0</v>
      </c>
      <c r="H10" s="27">
        <f>+'Analyse resultats'!CV100</f>
        <v>0</v>
      </c>
      <c r="I10" s="27">
        <f>+'Analyse resultats'!CW100</f>
        <v>0</v>
      </c>
      <c r="J10" s="27">
        <f>+'Analyse resultats'!CX100</f>
        <v>0</v>
      </c>
      <c r="K10" s="27">
        <f>+'Analyse resultats'!CY100</f>
        <v>0</v>
      </c>
      <c r="L10" s="27">
        <f>+'Analyse resultats'!CZ100</f>
        <v>0</v>
      </c>
      <c r="M10" s="27">
        <f>+'Analyse resultats'!DA100</f>
        <v>0</v>
      </c>
      <c r="N10" s="27">
        <f>+'Analyse resultats'!DB100</f>
        <v>0</v>
      </c>
      <c r="O10" s="27">
        <f>+'Analyse resultats'!DC100</f>
        <v>0</v>
      </c>
      <c r="P10" s="27">
        <f>+'Analyse resultats'!DD100</f>
        <v>0</v>
      </c>
      <c r="Q10" s="27">
        <f>+'Analyse resultats'!DE100</f>
        <v>0</v>
      </c>
    </row>
    <row r="11" spans="1:17">
      <c r="A11" s="16"/>
      <c r="B11" s="16"/>
      <c r="C11" s="16"/>
      <c r="D11" s="16"/>
      <c r="E11" s="16"/>
      <c r="F11" s="16"/>
      <c r="G11" s="16"/>
      <c r="H11" s="16"/>
    </row>
    <row r="12" spans="1:17" ht="14.45" customHeight="1">
      <c r="A12" s="16"/>
      <c r="B12" s="16"/>
      <c r="C12" s="16"/>
      <c r="D12" s="16"/>
      <c r="E12" s="16"/>
      <c r="F12" s="16"/>
      <c r="G12" s="16"/>
      <c r="H12" s="16"/>
    </row>
    <row r="13" spans="1:17">
      <c r="A13" s="16"/>
      <c r="B13" s="16"/>
      <c r="C13" s="16"/>
      <c r="D13" s="16"/>
      <c r="E13" s="16"/>
      <c r="F13" s="16"/>
      <c r="G13" s="16"/>
      <c r="H13" s="16"/>
    </row>
    <row r="14" spans="1:17">
      <c r="A14" s="16"/>
      <c r="B14" s="16"/>
      <c r="C14" s="16"/>
      <c r="D14" s="16"/>
      <c r="E14" s="16"/>
      <c r="F14" s="16"/>
      <c r="G14" s="16"/>
      <c r="H14" s="16"/>
    </row>
    <row r="15" spans="1:17">
      <c r="A15" s="16"/>
      <c r="B15" s="16"/>
      <c r="C15" s="16"/>
      <c r="D15" s="16"/>
      <c r="E15" s="16"/>
      <c r="F15" s="16"/>
      <c r="G15" s="16"/>
      <c r="H15" s="16"/>
    </row>
    <row r="16" spans="1:17">
      <c r="A16" s="16"/>
      <c r="B16" s="16"/>
      <c r="C16" s="16"/>
      <c r="D16" s="16"/>
      <c r="E16" s="16"/>
      <c r="F16" s="16"/>
      <c r="G16" s="16"/>
      <c r="H16" s="16"/>
    </row>
    <row r="17" spans="1:8">
      <c r="A17" s="16"/>
      <c r="B17" s="16"/>
      <c r="C17" s="16"/>
      <c r="D17" s="16"/>
      <c r="E17" s="16"/>
      <c r="F17" s="16"/>
      <c r="G17" s="16"/>
      <c r="H17" s="16"/>
    </row>
    <row r="18" spans="1:8">
      <c r="A18" s="16"/>
      <c r="B18" s="16"/>
      <c r="C18" s="16"/>
      <c r="D18" s="16"/>
      <c r="E18" s="16"/>
      <c r="F18" s="16"/>
      <c r="G18" s="16"/>
      <c r="H18" s="16"/>
    </row>
    <row r="19" spans="1:8">
      <c r="A19" s="16"/>
      <c r="B19" s="16"/>
      <c r="C19" s="16"/>
      <c r="D19" s="16"/>
      <c r="E19" s="16"/>
      <c r="F19" s="16"/>
      <c r="G19" s="16"/>
      <c r="H19" s="16"/>
    </row>
    <row r="20" spans="1:8">
      <c r="A20" s="16"/>
      <c r="B20" s="16"/>
      <c r="C20" s="16"/>
      <c r="D20" s="16"/>
      <c r="E20" s="16"/>
      <c r="F20" s="16"/>
      <c r="G20" s="16"/>
      <c r="H20" s="16"/>
    </row>
    <row r="21" spans="1:8">
      <c r="A21" s="16"/>
      <c r="B21" s="16"/>
      <c r="C21" s="16"/>
      <c r="D21" s="16"/>
      <c r="E21" s="16"/>
      <c r="F21" s="16"/>
      <c r="G21" s="16"/>
      <c r="H21" s="16"/>
    </row>
    <row r="22" spans="1:8">
      <c r="A22" s="16"/>
      <c r="B22" s="16"/>
      <c r="C22" s="16"/>
      <c r="D22" s="16"/>
      <c r="E22" s="16"/>
      <c r="F22" s="16"/>
      <c r="G22" s="16"/>
      <c r="H22" s="16"/>
    </row>
    <row r="23" spans="1:8">
      <c r="A23" s="16"/>
      <c r="B23" s="16"/>
      <c r="C23" s="16"/>
      <c r="D23" s="16"/>
      <c r="E23" s="16"/>
      <c r="F23" s="16"/>
      <c r="G23" s="16"/>
      <c r="H23" s="16"/>
    </row>
    <row r="24" spans="1:8">
      <c r="A24" s="16"/>
      <c r="B24" s="16"/>
      <c r="C24" s="16"/>
      <c r="D24" s="16"/>
      <c r="E24" s="16"/>
      <c r="F24" s="16"/>
      <c r="G24" s="16"/>
      <c r="H24" s="16"/>
    </row>
    <row r="25" spans="1:8">
      <c r="A25" s="16"/>
      <c r="B25" s="16"/>
      <c r="C25" s="16"/>
      <c r="D25" s="16"/>
      <c r="E25" s="16"/>
      <c r="F25" s="16"/>
      <c r="G25" s="16"/>
      <c r="H25" s="16"/>
    </row>
    <row r="26" spans="1:8">
      <c r="A26" s="16"/>
      <c r="B26" s="16"/>
      <c r="C26" s="16"/>
      <c r="D26" s="16"/>
      <c r="E26" s="16"/>
      <c r="F26" s="16"/>
      <c r="G26" s="16"/>
      <c r="H26" s="16"/>
    </row>
    <row r="27" spans="1:8">
      <c r="A27" s="16"/>
      <c r="B27" s="16"/>
      <c r="C27" s="16"/>
      <c r="D27" s="16"/>
      <c r="E27" s="16"/>
      <c r="F27" s="16"/>
      <c r="G27" s="16"/>
      <c r="H27" s="16"/>
    </row>
    <row r="28" spans="1:8">
      <c r="A28" s="16"/>
      <c r="B28" s="16"/>
      <c r="C28" s="16"/>
      <c r="D28" s="16"/>
      <c r="E28" s="16"/>
      <c r="F28" s="16"/>
      <c r="G28" s="16"/>
      <c r="H28" s="16"/>
    </row>
    <row r="29" spans="1:8">
      <c r="A29" s="16"/>
      <c r="B29" s="16"/>
      <c r="C29" s="16"/>
      <c r="D29" s="16"/>
      <c r="E29" s="16"/>
      <c r="F29" s="16"/>
      <c r="G29" s="16"/>
      <c r="H29" s="16"/>
    </row>
    <row r="30" spans="1:8">
      <c r="A30" s="16"/>
      <c r="B30" s="16"/>
      <c r="C30" s="16"/>
      <c r="D30" s="16"/>
      <c r="E30" s="16"/>
      <c r="F30" s="16"/>
      <c r="G30" s="16"/>
      <c r="H30" s="16"/>
    </row>
    <row r="31" spans="1:8">
      <c r="A31" s="16"/>
      <c r="B31" s="16"/>
      <c r="C31" s="16"/>
      <c r="D31" s="16"/>
      <c r="E31" s="16"/>
      <c r="F31" s="16"/>
      <c r="G31" s="16"/>
      <c r="H31" s="16"/>
    </row>
    <row r="32" spans="1:8">
      <c r="A32" s="16"/>
      <c r="B32" s="16"/>
      <c r="C32" s="16"/>
      <c r="D32" s="16"/>
      <c r="E32" s="16"/>
      <c r="F32" s="16"/>
      <c r="G32" s="16"/>
      <c r="H32" s="16"/>
    </row>
    <row r="33" spans="1:8">
      <c r="A33" s="16"/>
      <c r="B33" s="16"/>
      <c r="C33" s="16"/>
      <c r="D33" s="16"/>
      <c r="E33" s="16"/>
      <c r="F33" s="16"/>
      <c r="G33" s="16"/>
      <c r="H33" s="16"/>
    </row>
    <row r="34" spans="1:8">
      <c r="A34" s="16"/>
      <c r="B34" s="16"/>
      <c r="C34" s="16"/>
      <c r="D34" s="16"/>
      <c r="E34" s="16"/>
      <c r="F34" s="16"/>
      <c r="G34" s="16"/>
      <c r="H34" s="16"/>
    </row>
    <row r="35" spans="1:8">
      <c r="A35" s="16"/>
      <c r="B35" s="16"/>
      <c r="C35" s="16"/>
      <c r="D35" s="16"/>
      <c r="E35" s="16"/>
      <c r="F35" s="16"/>
      <c r="G35" s="16"/>
      <c r="H35" s="16"/>
    </row>
    <row r="36" spans="1:8">
      <c r="A36" s="16"/>
      <c r="B36" s="16"/>
      <c r="C36" s="16"/>
      <c r="D36" s="16"/>
      <c r="E36" s="16"/>
      <c r="F36" s="16"/>
      <c r="G36" s="16"/>
      <c r="H36" s="16"/>
    </row>
    <row r="37" spans="1:8">
      <c r="A37" s="16"/>
      <c r="B37" s="16"/>
      <c r="C37" s="16"/>
      <c r="D37" s="16"/>
      <c r="E37" s="16"/>
      <c r="F37" s="16"/>
      <c r="G37" s="16"/>
      <c r="H37" s="16"/>
    </row>
    <row r="38" spans="1:8">
      <c r="A38" s="16"/>
      <c r="B38" s="16"/>
      <c r="C38" s="16"/>
      <c r="D38" s="16"/>
      <c r="E38" s="16"/>
      <c r="F38" s="16"/>
      <c r="G38" s="16"/>
      <c r="H38" s="16"/>
    </row>
    <row r="39" spans="1:8">
      <c r="A39" s="16"/>
      <c r="B39" s="16"/>
      <c r="C39" s="16"/>
      <c r="D39" s="16"/>
      <c r="E39" s="16"/>
      <c r="F39" s="16"/>
      <c r="G39" s="16"/>
      <c r="H39" s="16"/>
    </row>
    <row r="40" spans="1:8">
      <c r="A40" s="16"/>
      <c r="B40" s="16"/>
      <c r="C40" s="16"/>
      <c r="D40" s="16"/>
      <c r="E40" s="16"/>
      <c r="F40" s="16"/>
      <c r="G40" s="16"/>
      <c r="H40" s="16"/>
    </row>
    <row r="41" spans="1:8">
      <c r="A41" s="16"/>
      <c r="B41" s="16"/>
      <c r="C41" s="16"/>
      <c r="D41" s="16"/>
      <c r="E41" s="16"/>
      <c r="F41" s="16"/>
      <c r="G41" s="16"/>
      <c r="H41" s="16"/>
    </row>
    <row r="42" spans="1:8">
      <c r="A42" s="16"/>
      <c r="B42" s="16"/>
      <c r="C42" s="16"/>
      <c r="D42" s="16"/>
      <c r="E42" s="16"/>
      <c r="F42" s="16"/>
      <c r="G42" s="16"/>
      <c r="H42" s="16"/>
    </row>
    <row r="43" spans="1:8">
      <c r="A43" s="16"/>
      <c r="B43" s="16"/>
      <c r="C43" s="16"/>
      <c r="D43" s="16"/>
      <c r="E43" s="16"/>
      <c r="F43" s="16"/>
      <c r="G43" s="16"/>
      <c r="H43" s="16"/>
    </row>
    <row r="44" spans="1:8">
      <c r="A44" s="16"/>
      <c r="B44" s="16"/>
      <c r="C44" s="16"/>
      <c r="D44" s="16"/>
      <c r="E44" s="16"/>
      <c r="F44" s="16"/>
      <c r="G44" s="16"/>
      <c r="H44" s="16"/>
    </row>
    <row r="45" spans="1:8">
      <c r="A45" s="16"/>
      <c r="B45" s="16"/>
      <c r="C45" s="16"/>
      <c r="D45" s="16"/>
      <c r="E45" s="16"/>
      <c r="F45" s="16"/>
      <c r="G45" s="16"/>
      <c r="H45" s="16"/>
    </row>
    <row r="46" spans="1:8">
      <c r="A46" s="16"/>
      <c r="B46" s="16"/>
      <c r="C46" s="16"/>
      <c r="D46" s="16"/>
      <c r="E46" s="16"/>
      <c r="F46" s="16"/>
      <c r="G46" s="16"/>
      <c r="H46" s="16"/>
    </row>
    <row r="47" spans="1:8">
      <c r="A47" s="16"/>
      <c r="B47" s="16"/>
      <c r="C47" s="16"/>
      <c r="D47" s="16"/>
      <c r="E47" s="16"/>
      <c r="F47" s="16"/>
      <c r="G47" s="16"/>
      <c r="H47" s="16"/>
    </row>
    <row r="48" spans="1:8">
      <c r="A48" s="16"/>
      <c r="B48" s="16"/>
      <c r="C48" s="16"/>
      <c r="D48" s="16"/>
      <c r="E48" s="16"/>
      <c r="F48" s="16"/>
      <c r="G48" s="16"/>
      <c r="H48" s="16"/>
    </row>
    <row r="49" spans="1:8">
      <c r="A49" s="16"/>
      <c r="B49" s="16"/>
      <c r="C49" s="16"/>
      <c r="D49" s="16"/>
      <c r="E49" s="16"/>
      <c r="F49" s="16"/>
      <c r="G49" s="16"/>
      <c r="H49" s="16"/>
    </row>
    <row r="50" spans="1:8">
      <c r="A50" s="16"/>
      <c r="B50" s="16"/>
      <c r="C50" s="16"/>
      <c r="D50" s="16"/>
      <c r="E50" s="16"/>
      <c r="F50" s="16"/>
      <c r="G50" s="16"/>
      <c r="H50" s="16"/>
    </row>
    <row r="51" spans="1:8">
      <c r="A51" s="16"/>
      <c r="B51" s="16"/>
      <c r="C51" s="16"/>
      <c r="D51" s="16"/>
      <c r="E51" s="16"/>
      <c r="F51" s="16"/>
      <c r="G51" s="16"/>
      <c r="H51" s="16"/>
    </row>
    <row r="52" spans="1:8">
      <c r="A52" s="16"/>
      <c r="B52" s="16"/>
      <c r="C52" s="16"/>
      <c r="D52" s="16"/>
      <c r="E52" s="16"/>
      <c r="F52" s="16"/>
      <c r="G52" s="16"/>
      <c r="H52" s="16"/>
    </row>
    <row r="53" spans="1:8">
      <c r="A53" s="16"/>
      <c r="B53" s="16"/>
      <c r="C53" s="16"/>
      <c r="D53" s="16"/>
      <c r="E53" s="16"/>
      <c r="F53" s="16"/>
      <c r="G53" s="16"/>
      <c r="H53" s="16"/>
    </row>
    <row r="54" spans="1:8">
      <c r="A54" s="16"/>
      <c r="B54" s="16"/>
      <c r="C54" s="16"/>
      <c r="D54" s="16"/>
      <c r="E54" s="16"/>
      <c r="F54" s="16"/>
      <c r="G54" s="16"/>
      <c r="H54" s="16"/>
    </row>
    <row r="55" spans="1:8">
      <c r="A55" s="16"/>
      <c r="B55" s="16"/>
      <c r="C55" s="16"/>
      <c r="D55" s="16"/>
      <c r="E55" s="16"/>
      <c r="F55" s="16"/>
      <c r="G55" s="16"/>
      <c r="H55" s="16"/>
    </row>
    <row r="56" spans="1:8">
      <c r="A56" s="16"/>
      <c r="B56" s="16"/>
      <c r="C56" s="16"/>
      <c r="D56" s="16"/>
      <c r="E56" s="16"/>
      <c r="F56" s="16"/>
      <c r="G56" s="16"/>
      <c r="H56" s="16"/>
    </row>
    <row r="57" spans="1:8">
      <c r="A57" s="16"/>
      <c r="B57" s="16"/>
      <c r="C57" s="16"/>
      <c r="D57" s="16"/>
      <c r="E57" s="16"/>
      <c r="F57" s="16"/>
      <c r="G57" s="16"/>
      <c r="H57" s="16"/>
    </row>
    <row r="58" spans="1:8">
      <c r="A58" s="16"/>
      <c r="B58" s="16"/>
      <c r="C58" s="16"/>
      <c r="D58" s="16"/>
      <c r="E58" s="16"/>
      <c r="F58" s="16"/>
      <c r="G58" s="16"/>
      <c r="H58" s="16"/>
    </row>
    <row r="59" spans="1:8">
      <c r="A59" s="16"/>
      <c r="B59" s="16"/>
      <c r="C59" s="16"/>
      <c r="D59" s="16"/>
      <c r="E59" s="16"/>
      <c r="F59" s="16"/>
      <c r="G59" s="16"/>
      <c r="H59" s="16"/>
    </row>
    <row r="60" spans="1:8">
      <c r="A60" s="16"/>
      <c r="B60" s="16"/>
      <c r="C60" s="16"/>
      <c r="D60" s="16"/>
      <c r="E60" s="16"/>
      <c r="F60" s="16"/>
      <c r="G60" s="16"/>
      <c r="H60" s="16"/>
    </row>
    <row r="61" spans="1:8">
      <c r="A61" s="16"/>
      <c r="B61" s="16"/>
      <c r="C61" s="16"/>
      <c r="D61" s="16"/>
      <c r="E61" s="16"/>
      <c r="F61" s="16"/>
      <c r="G61" s="16"/>
      <c r="H61" s="16"/>
    </row>
    <row r="62" spans="1:8">
      <c r="A62" s="16"/>
      <c r="B62" s="16"/>
      <c r="C62" s="16"/>
      <c r="D62" s="16"/>
      <c r="E62" s="16"/>
      <c r="F62" s="16"/>
      <c r="G62" s="16"/>
      <c r="H62" s="16"/>
    </row>
    <row r="63" spans="1:8">
      <c r="A63" s="16"/>
      <c r="B63" s="16"/>
      <c r="C63" s="16"/>
      <c r="D63" s="16"/>
      <c r="E63" s="16"/>
      <c r="F63" s="16"/>
      <c r="G63" s="16"/>
      <c r="H63" s="16"/>
    </row>
    <row r="64" spans="1:8">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row r="72" spans="1:8">
      <c r="A72" s="16"/>
      <c r="B72" s="16"/>
      <c r="C72" s="16"/>
      <c r="D72" s="16"/>
      <c r="E72" s="16"/>
      <c r="F72" s="16"/>
      <c r="G72" s="16"/>
      <c r="H72" s="16"/>
    </row>
    <row r="73" spans="1:8">
      <c r="A73" s="16"/>
      <c r="B73" s="16"/>
      <c r="C73" s="16"/>
      <c r="D73" s="16"/>
      <c r="E73" s="16"/>
      <c r="F73" s="16"/>
      <c r="G73" s="16"/>
      <c r="H73" s="16"/>
    </row>
    <row r="74" spans="1:8">
      <c r="A74" s="16"/>
      <c r="B74" s="16"/>
      <c r="C74" s="16"/>
      <c r="D74" s="16"/>
      <c r="E74" s="16"/>
      <c r="F74" s="16"/>
      <c r="G74" s="16"/>
      <c r="H74" s="16"/>
    </row>
    <row r="75" spans="1:8">
      <c r="A75" s="16"/>
      <c r="B75" s="16"/>
      <c r="C75" s="16"/>
      <c r="D75" s="16"/>
      <c r="E75" s="16"/>
      <c r="F75" s="16"/>
      <c r="G75" s="16"/>
      <c r="H75" s="16"/>
    </row>
    <row r="76" spans="1:8">
      <c r="A76" s="16"/>
      <c r="B76" s="16"/>
      <c r="C76" s="16"/>
      <c r="D76" s="16"/>
      <c r="E76" s="16"/>
      <c r="F76" s="16"/>
      <c r="G76" s="16"/>
      <c r="H76" s="16"/>
    </row>
    <row r="77" spans="1:8">
      <c r="A77" s="16"/>
      <c r="B77" s="16"/>
      <c r="C77" s="16"/>
      <c r="D77" s="16"/>
      <c r="E77" s="16"/>
      <c r="F77" s="16"/>
      <c r="G77" s="16"/>
      <c r="H77" s="16"/>
    </row>
    <row r="78" spans="1:8">
      <c r="A78" s="16"/>
      <c r="B78" s="16"/>
      <c r="C78" s="16"/>
      <c r="D78" s="16"/>
      <c r="E78" s="16"/>
      <c r="F78" s="16"/>
      <c r="G78" s="16"/>
      <c r="H78" s="16"/>
    </row>
    <row r="79" spans="1:8">
      <c r="A79" s="16"/>
      <c r="B79" s="16"/>
      <c r="C79" s="16"/>
      <c r="D79" s="16"/>
      <c r="E79" s="16"/>
      <c r="F79" s="16"/>
      <c r="G79" s="16"/>
      <c r="H79" s="16"/>
    </row>
    <row r="80" spans="1:8">
      <c r="A80" s="16"/>
      <c r="B80" s="16"/>
      <c r="C80" s="16"/>
      <c r="D80" s="16"/>
      <c r="E80" s="16"/>
      <c r="F80" s="16"/>
      <c r="G80" s="16"/>
      <c r="H80" s="16"/>
    </row>
    <row r="81" spans="1:8">
      <c r="A81" s="16"/>
      <c r="B81" s="16"/>
      <c r="C81" s="16"/>
      <c r="D81" s="16"/>
      <c r="E81" s="16"/>
      <c r="F81" s="16"/>
      <c r="G81" s="16"/>
      <c r="H81" s="16"/>
    </row>
    <row r="82" spans="1:8">
      <c r="A82" s="16"/>
      <c r="B82" s="16"/>
      <c r="C82" s="16"/>
      <c r="D82" s="16"/>
      <c r="E82" s="16"/>
      <c r="F82" s="16"/>
      <c r="G82" s="16"/>
      <c r="H82" s="16"/>
    </row>
    <row r="83" spans="1:8">
      <c r="A83" s="16"/>
      <c r="B83" s="16"/>
      <c r="C83" s="16"/>
      <c r="D83" s="16"/>
      <c r="E83" s="16"/>
      <c r="F83" s="16"/>
      <c r="G83" s="16"/>
      <c r="H83" s="16"/>
    </row>
    <row r="84" spans="1:8">
      <c r="A84" s="16"/>
      <c r="B84" s="16"/>
      <c r="C84" s="16"/>
      <c r="D84" s="16"/>
      <c r="E84" s="16"/>
      <c r="F84" s="16"/>
      <c r="G84" s="16"/>
      <c r="H84" s="16"/>
    </row>
    <row r="85" spans="1:8">
      <c r="A85" s="16"/>
      <c r="B85" s="16"/>
      <c r="C85" s="16"/>
      <c r="D85" s="16"/>
      <c r="E85" s="16"/>
      <c r="F85" s="16"/>
      <c r="G85" s="16"/>
      <c r="H85" s="16"/>
    </row>
    <row r="86" spans="1:8">
      <c r="A86" s="16"/>
      <c r="B86" s="16"/>
      <c r="C86" s="16"/>
      <c r="D86" s="16"/>
      <c r="E86" s="16"/>
      <c r="F86" s="16"/>
      <c r="G86" s="16"/>
      <c r="H86" s="16"/>
    </row>
    <row r="87" spans="1:8">
      <c r="A87" s="16"/>
      <c r="B87" s="16"/>
      <c r="C87" s="16"/>
      <c r="D87" s="16"/>
      <c r="E87" s="16"/>
      <c r="F87" s="16"/>
      <c r="G87" s="16"/>
      <c r="H87" s="16"/>
    </row>
    <row r="88" spans="1:8">
      <c r="A88" s="16"/>
      <c r="B88" s="16"/>
      <c r="C88" s="16"/>
      <c r="D88" s="16"/>
      <c r="E88" s="16"/>
      <c r="F88" s="16"/>
      <c r="G88" s="16"/>
      <c r="H88" s="16"/>
    </row>
    <row r="89" spans="1:8">
      <c r="A89" s="16"/>
      <c r="B89" s="16"/>
      <c r="C89" s="16"/>
      <c r="D89" s="16"/>
      <c r="E89" s="16"/>
      <c r="F89" s="16"/>
      <c r="G89" s="16"/>
      <c r="H89" s="16"/>
    </row>
    <row r="90" spans="1:8">
      <c r="A90" s="16"/>
      <c r="B90" s="16"/>
      <c r="C90" s="16"/>
      <c r="D90" s="16"/>
      <c r="E90" s="16"/>
      <c r="F90" s="16"/>
      <c r="G90" s="16"/>
      <c r="H90" s="16"/>
    </row>
    <row r="91" spans="1:8">
      <c r="A91" s="16"/>
      <c r="B91" s="16"/>
      <c r="C91" s="16"/>
      <c r="D91" s="16"/>
      <c r="E91" s="16"/>
      <c r="F91" s="16"/>
      <c r="G91" s="16"/>
      <c r="H91" s="16"/>
    </row>
    <row r="92" spans="1:8">
      <c r="A92" s="16"/>
      <c r="B92" s="16"/>
      <c r="C92" s="16"/>
      <c r="D92" s="16"/>
      <c r="E92" s="16"/>
      <c r="F92" s="16"/>
      <c r="G92" s="16"/>
      <c r="H92" s="16"/>
    </row>
    <row r="93" spans="1:8">
      <c r="A93" s="16"/>
      <c r="B93" s="16"/>
      <c r="C93" s="16"/>
      <c r="D93" s="16"/>
      <c r="E93" s="16"/>
      <c r="F93" s="16"/>
      <c r="G93" s="16"/>
      <c r="H93" s="16"/>
    </row>
    <row r="94" spans="1:8">
      <c r="A94" s="16"/>
      <c r="B94" s="16"/>
      <c r="C94" s="16"/>
      <c r="D94" s="16"/>
      <c r="E94" s="16"/>
      <c r="F94" s="16"/>
      <c r="G94" s="16"/>
      <c r="H94" s="16"/>
    </row>
    <row r="95" spans="1:8">
      <c r="A95" s="16"/>
      <c r="B95" s="16"/>
      <c r="C95" s="16"/>
      <c r="D95" s="16"/>
      <c r="E95" s="16"/>
      <c r="F95" s="16"/>
      <c r="G95" s="16"/>
      <c r="H95" s="16"/>
    </row>
    <row r="96" spans="1:8">
      <c r="A96" s="16"/>
      <c r="B96" s="16"/>
      <c r="C96" s="16"/>
      <c r="D96" s="16"/>
      <c r="E96" s="16"/>
      <c r="F96" s="16"/>
      <c r="G96" s="16"/>
      <c r="H96" s="16"/>
    </row>
    <row r="97" spans="1:8">
      <c r="A97" s="16"/>
      <c r="B97" s="16"/>
      <c r="C97" s="16"/>
      <c r="D97" s="16"/>
      <c r="E97" s="16"/>
      <c r="F97" s="16"/>
      <c r="G97" s="16"/>
      <c r="H97" s="16"/>
    </row>
    <row r="98" spans="1:8">
      <c r="A98" s="16"/>
      <c r="B98" s="16"/>
      <c r="C98" s="16"/>
      <c r="D98" s="16"/>
      <c r="E98" s="16"/>
      <c r="F98" s="16"/>
      <c r="G98" s="16"/>
      <c r="H98" s="16"/>
    </row>
    <row r="99" spans="1:8">
      <c r="A99" s="16"/>
      <c r="B99" s="16"/>
      <c r="C99" s="16"/>
      <c r="D99" s="16"/>
      <c r="E99" s="16"/>
      <c r="F99" s="16"/>
      <c r="G99" s="16"/>
      <c r="H99" s="16"/>
    </row>
    <row r="100" spans="1:8">
      <c r="A100" s="16"/>
      <c r="B100" s="16"/>
      <c r="C100" s="16"/>
      <c r="D100" s="16"/>
      <c r="E100" s="16"/>
      <c r="F100" s="16"/>
      <c r="G100" s="16"/>
      <c r="H100" s="16"/>
    </row>
    <row r="101" spans="1:8">
      <c r="A101" s="16"/>
      <c r="B101" s="16"/>
      <c r="C101" s="16"/>
      <c r="D101" s="16"/>
      <c r="E101" s="16"/>
      <c r="F101" s="16"/>
      <c r="G101" s="16"/>
      <c r="H101" s="16"/>
    </row>
    <row r="102" spans="1:8">
      <c r="B102" s="16"/>
      <c r="C102" s="16"/>
      <c r="D102" s="16"/>
      <c r="E102" s="16"/>
      <c r="F102" s="16"/>
      <c r="G102" s="16"/>
      <c r="H102" s="16"/>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2"/>
  <sheetViews>
    <sheetView zoomScale="76" zoomScaleNormal="76" workbookViewId="0">
      <selection activeCell="B4" sqref="B4:Q10"/>
    </sheetView>
  </sheetViews>
  <sheetFormatPr baseColWidth="10" defaultColWidth="11.5" defaultRowHeight="14.25"/>
  <cols>
    <col min="2" max="2" width="16.5" customWidth="1"/>
    <col min="3" max="3" width="15.875" customWidth="1"/>
    <col min="4" max="4" width="17.375" customWidth="1"/>
    <col min="5" max="5" width="17.625" customWidth="1"/>
  </cols>
  <sheetData>
    <row r="1" spans="1:17" ht="15">
      <c r="A1" s="15"/>
      <c r="B1" s="15"/>
      <c r="C1" s="15"/>
      <c r="D1" s="15"/>
      <c r="E1" s="15"/>
      <c r="F1" s="15"/>
      <c r="G1" s="15"/>
      <c r="H1" s="15"/>
    </row>
    <row r="2" spans="1:17" ht="43.15" customHeight="1">
      <c r="A2" s="16"/>
      <c r="B2" s="15" t="s">
        <v>189</v>
      </c>
      <c r="C2" s="15"/>
      <c r="D2" s="15"/>
      <c r="E2" s="15"/>
      <c r="F2" s="15"/>
      <c r="G2" s="15"/>
      <c r="H2" s="15"/>
    </row>
    <row r="3" spans="1:17" ht="78" customHeight="1">
      <c r="A3" s="16" t="s">
        <v>54</v>
      </c>
      <c r="B3" s="20" t="s">
        <v>20</v>
      </c>
      <c r="C3" s="20" t="s">
        <v>21</v>
      </c>
      <c r="D3" s="21" t="s">
        <v>22</v>
      </c>
      <c r="E3" s="20" t="s">
        <v>23</v>
      </c>
      <c r="F3" s="20" t="s">
        <v>24</v>
      </c>
      <c r="G3" s="20" t="s">
        <v>25</v>
      </c>
      <c r="H3" s="20" t="s">
        <v>26</v>
      </c>
      <c r="I3" s="20" t="s">
        <v>27</v>
      </c>
      <c r="J3" s="20" t="s">
        <v>28</v>
      </c>
      <c r="K3" s="20" t="s">
        <v>29</v>
      </c>
      <c r="L3" s="20" t="s">
        <v>30</v>
      </c>
      <c r="M3" s="20" t="s">
        <v>31</v>
      </c>
      <c r="N3" s="20" t="s">
        <v>32</v>
      </c>
      <c r="O3" s="20" t="s">
        <v>33</v>
      </c>
      <c r="P3" s="20" t="s">
        <v>34</v>
      </c>
      <c r="Q3" s="20" t="s">
        <v>35</v>
      </c>
    </row>
    <row r="4" spans="1:17">
      <c r="A4" s="4" t="s">
        <v>101</v>
      </c>
      <c r="B4" s="27">
        <f>+'Analyse resultats'!DH94</f>
        <v>3</v>
      </c>
      <c r="C4" s="27">
        <f>+'Analyse resultats'!DI94</f>
        <v>3</v>
      </c>
      <c r="D4" s="27">
        <f>+'Analyse resultats'!DJ94</f>
        <v>3</v>
      </c>
      <c r="E4" s="27">
        <f>+'Analyse resultats'!DK94</f>
        <v>3</v>
      </c>
      <c r="F4" s="27">
        <f>+'Analyse resultats'!DL94</f>
        <v>3</v>
      </c>
      <c r="G4" s="27">
        <f>+'Analyse resultats'!DM94</f>
        <v>3</v>
      </c>
      <c r="H4" s="27">
        <f>+'Analyse resultats'!DN94</f>
        <v>3</v>
      </c>
      <c r="I4" s="27">
        <f>+'Analyse resultats'!DO94</f>
        <v>3</v>
      </c>
      <c r="J4" s="27">
        <f>+'Analyse resultats'!DP94</f>
        <v>3</v>
      </c>
      <c r="K4" s="27">
        <f>+'Analyse resultats'!DQ94</f>
        <v>3</v>
      </c>
      <c r="L4" s="27">
        <f>+'Analyse resultats'!DR94</f>
        <v>3</v>
      </c>
      <c r="M4" s="27">
        <f>+'Analyse resultats'!DS94</f>
        <v>3</v>
      </c>
      <c r="N4" s="27">
        <f>+'Analyse resultats'!DT94</f>
        <v>3</v>
      </c>
      <c r="O4" s="27">
        <f>+'Analyse resultats'!DU94</f>
        <v>3</v>
      </c>
      <c r="P4" s="27">
        <f>+'Analyse resultats'!DV94</f>
        <v>3</v>
      </c>
      <c r="Q4" s="27">
        <f>+'Analyse resultats'!DW94</f>
        <v>3</v>
      </c>
    </row>
    <row r="5" spans="1:17">
      <c r="A5" s="25" t="s">
        <v>74</v>
      </c>
      <c r="B5" s="27">
        <f>+'Analyse resultats'!DH95</f>
        <v>3</v>
      </c>
      <c r="C5" s="27">
        <f>+'Analyse resultats'!DI95</f>
        <v>1</v>
      </c>
      <c r="D5" s="27">
        <f>+'Analyse resultats'!DJ95</f>
        <v>3</v>
      </c>
      <c r="E5" s="27">
        <f>+'Analyse resultats'!DK95</f>
        <v>3</v>
      </c>
      <c r="F5" s="27">
        <f>+'Analyse resultats'!DL95</f>
        <v>3</v>
      </c>
      <c r="G5" s="27">
        <f>+'Analyse resultats'!DM95</f>
        <v>3</v>
      </c>
      <c r="H5" s="27">
        <f>+'Analyse resultats'!DN95</f>
        <v>1</v>
      </c>
      <c r="I5" s="27">
        <f>+'Analyse resultats'!DO95</f>
        <v>1</v>
      </c>
      <c r="J5" s="27">
        <f>+'Analyse resultats'!DP95</f>
        <v>3</v>
      </c>
      <c r="K5" s="27">
        <f>+'Analyse resultats'!DQ95</f>
        <v>3</v>
      </c>
      <c r="L5" s="27">
        <f>+'Analyse resultats'!DR95</f>
        <v>3</v>
      </c>
      <c r="M5" s="27">
        <f>+'Analyse resultats'!DS95</f>
        <v>1</v>
      </c>
      <c r="N5" s="27">
        <f>+'Analyse resultats'!DT95</f>
        <v>1</v>
      </c>
      <c r="O5" s="27">
        <f>+'Analyse resultats'!DU95</f>
        <v>3</v>
      </c>
      <c r="P5" s="27">
        <f>+'Analyse resultats'!DV95</f>
        <v>3</v>
      </c>
      <c r="Q5" s="27">
        <f>+'Analyse resultats'!DW95</f>
        <v>3</v>
      </c>
    </row>
    <row r="6" spans="1:17" ht="14.45" customHeight="1">
      <c r="A6" s="4" t="s">
        <v>42</v>
      </c>
      <c r="B6" s="27">
        <f>+'Analyse resultats'!DH96</f>
        <v>1</v>
      </c>
      <c r="C6" s="27">
        <f>+'Analyse resultats'!DI96</f>
        <v>1</v>
      </c>
      <c r="D6" s="27">
        <f>+'Analyse resultats'!DJ96</f>
        <v>1</v>
      </c>
      <c r="E6" s="27">
        <f>+'Analyse resultats'!DK96</f>
        <v>1</v>
      </c>
      <c r="F6" s="27">
        <f>+'Analyse resultats'!DL96</f>
        <v>1</v>
      </c>
      <c r="G6" s="27">
        <f>+'Analyse resultats'!DM96</f>
        <v>1</v>
      </c>
      <c r="H6" s="27">
        <f>+'Analyse resultats'!DN96</f>
        <v>1</v>
      </c>
      <c r="I6" s="27">
        <f>+'Analyse resultats'!DO96</f>
        <v>1</v>
      </c>
      <c r="J6" s="27">
        <f>+'Analyse resultats'!DP96</f>
        <v>1</v>
      </c>
      <c r="K6" s="27">
        <f>+'Analyse resultats'!DQ96</f>
        <v>1</v>
      </c>
      <c r="L6" s="27">
        <f>+'Analyse resultats'!DR96</f>
        <v>1</v>
      </c>
      <c r="M6" s="27">
        <f>+'Analyse resultats'!DS96</f>
        <v>1</v>
      </c>
      <c r="N6" s="27">
        <f>+'Analyse resultats'!DT96</f>
        <v>1</v>
      </c>
      <c r="O6" s="27">
        <f>+'Analyse resultats'!DU96</f>
        <v>1</v>
      </c>
      <c r="P6" s="27">
        <f>+'Analyse resultats'!DV96</f>
        <v>1</v>
      </c>
      <c r="Q6" s="27">
        <f>+'Analyse resultats'!DW96</f>
        <v>1</v>
      </c>
    </row>
    <row r="7" spans="1:17">
      <c r="A7" s="25" t="s">
        <v>137</v>
      </c>
      <c r="B7" s="27">
        <f>+'Analyse resultats'!DH97</f>
        <v>6</v>
      </c>
      <c r="C7" s="27">
        <f>+'Analyse resultats'!DI97</f>
        <v>6</v>
      </c>
      <c r="D7" s="27">
        <f>+'Analyse resultats'!DJ97</f>
        <v>7</v>
      </c>
      <c r="E7" s="27">
        <f>+'Analyse resultats'!DK97</f>
        <v>6</v>
      </c>
      <c r="F7" s="27">
        <f>+'Analyse resultats'!DL97</f>
        <v>7</v>
      </c>
      <c r="G7" s="27">
        <f>+'Analyse resultats'!DM97</f>
        <v>7</v>
      </c>
      <c r="H7" s="27">
        <f>+'Analyse resultats'!DN97</f>
        <v>6</v>
      </c>
      <c r="I7" s="27">
        <f>+'Analyse resultats'!DO97</f>
        <v>6</v>
      </c>
      <c r="J7" s="27">
        <f>+'Analyse resultats'!DP97</f>
        <v>7</v>
      </c>
      <c r="K7" s="27">
        <f>+'Analyse resultats'!DQ97</f>
        <v>7</v>
      </c>
      <c r="L7" s="27">
        <f>+'Analyse resultats'!DR97</f>
        <v>7</v>
      </c>
      <c r="M7" s="27">
        <f>+'Analyse resultats'!DS97</f>
        <v>6</v>
      </c>
      <c r="N7" s="27">
        <f>+'Analyse resultats'!DT97</f>
        <v>6</v>
      </c>
      <c r="O7" s="27">
        <f>+'Analyse resultats'!DU97</f>
        <v>7</v>
      </c>
      <c r="P7" s="27">
        <f>+'Analyse resultats'!DV97</f>
        <v>7</v>
      </c>
      <c r="Q7" s="27">
        <f>+'Analyse resultats'!DW97</f>
        <v>7</v>
      </c>
    </row>
    <row r="8" spans="1:17">
      <c r="A8" s="4" t="s">
        <v>58</v>
      </c>
      <c r="B8" s="27">
        <f>+'Analyse resultats'!DH98</f>
        <v>3</v>
      </c>
      <c r="C8" s="27">
        <f>+'Analyse resultats'!DI98</f>
        <v>3</v>
      </c>
      <c r="D8" s="27">
        <f>+'Analyse resultats'!DJ98</f>
        <v>3</v>
      </c>
      <c r="E8" s="27">
        <f>+'Analyse resultats'!DK98</f>
        <v>4</v>
      </c>
      <c r="F8" s="27">
        <f>+'Analyse resultats'!DL98</f>
        <v>4</v>
      </c>
      <c r="G8" s="27">
        <f>+'Analyse resultats'!DM98</f>
        <v>3</v>
      </c>
      <c r="H8" s="27">
        <f>+'Analyse resultats'!DN98</f>
        <v>3</v>
      </c>
      <c r="I8" s="27">
        <f>+'Analyse resultats'!DO98</f>
        <v>3</v>
      </c>
      <c r="J8" s="27">
        <f>+'Analyse resultats'!DP98</f>
        <v>3</v>
      </c>
      <c r="K8" s="27">
        <f>+'Analyse resultats'!DQ98</f>
        <v>4</v>
      </c>
      <c r="L8" s="27">
        <f>+'Analyse resultats'!DR98</f>
        <v>4</v>
      </c>
      <c r="M8" s="27">
        <f>+'Analyse resultats'!DS98</f>
        <v>4</v>
      </c>
      <c r="N8" s="27">
        <f>+'Analyse resultats'!DT98</f>
        <v>4</v>
      </c>
      <c r="O8" s="27">
        <f>+'Analyse resultats'!DU98</f>
        <v>4</v>
      </c>
      <c r="P8" s="27">
        <f>+'Analyse resultats'!DV98</f>
        <v>4</v>
      </c>
      <c r="Q8" s="27">
        <f>+'Analyse resultats'!DW98</f>
        <v>4</v>
      </c>
    </row>
    <row r="9" spans="1:17">
      <c r="A9" s="25" t="s">
        <v>168</v>
      </c>
      <c r="B9" s="27">
        <f>+'Analyse resultats'!DH99</f>
        <v>1</v>
      </c>
      <c r="C9" s="27">
        <f>+'Analyse resultats'!DI99</f>
        <v>1</v>
      </c>
      <c r="D9" s="27">
        <f>+'Analyse resultats'!DJ99</f>
        <v>1</v>
      </c>
      <c r="E9" s="27">
        <f>+'Analyse resultats'!DK99</f>
        <v>1</v>
      </c>
      <c r="F9" s="27">
        <f>+'Analyse resultats'!DL99</f>
        <v>1</v>
      </c>
      <c r="G9" s="27">
        <f>+'Analyse resultats'!DM99</f>
        <v>1</v>
      </c>
      <c r="H9" s="27">
        <f>+'Analyse resultats'!DN99</f>
        <v>1</v>
      </c>
      <c r="I9" s="27">
        <f>+'Analyse resultats'!DO99</f>
        <v>1</v>
      </c>
      <c r="J9" s="27">
        <f>+'Analyse resultats'!DP99</f>
        <v>1</v>
      </c>
      <c r="K9" s="27">
        <f>+'Analyse resultats'!DQ99</f>
        <v>1</v>
      </c>
      <c r="L9" s="27">
        <f>+'Analyse resultats'!DR99</f>
        <v>1</v>
      </c>
      <c r="M9" s="27">
        <f>+'Analyse resultats'!DS99</f>
        <v>1</v>
      </c>
      <c r="N9" s="27">
        <f>+'Analyse resultats'!DT99</f>
        <v>1</v>
      </c>
      <c r="O9" s="27">
        <f>+'Analyse resultats'!DU99</f>
        <v>1</v>
      </c>
      <c r="P9" s="27">
        <f>+'Analyse resultats'!DV99</f>
        <v>1</v>
      </c>
      <c r="Q9" s="27">
        <f>+'Analyse resultats'!DW99</f>
        <v>1</v>
      </c>
    </row>
    <row r="10" spans="1:17">
      <c r="A10" s="25" t="s">
        <v>180</v>
      </c>
      <c r="B10" s="27">
        <f>+'Analyse resultats'!DH100</f>
        <v>0</v>
      </c>
      <c r="C10" s="27">
        <f>+'Analyse resultats'!DI100</f>
        <v>0</v>
      </c>
      <c r="D10" s="27">
        <f>+'Analyse resultats'!DJ100</f>
        <v>0</v>
      </c>
      <c r="E10" s="27">
        <f>+'Analyse resultats'!DK100</f>
        <v>0</v>
      </c>
      <c r="F10" s="27">
        <f>+'Analyse resultats'!DL100</f>
        <v>0</v>
      </c>
      <c r="G10" s="27">
        <f>+'Analyse resultats'!DM100</f>
        <v>0</v>
      </c>
      <c r="H10" s="27">
        <f>+'Analyse resultats'!DN100</f>
        <v>0</v>
      </c>
      <c r="I10" s="27">
        <f>+'Analyse resultats'!DO100</f>
        <v>0</v>
      </c>
      <c r="J10" s="27">
        <f>+'Analyse resultats'!DP100</f>
        <v>0</v>
      </c>
      <c r="K10" s="27">
        <f>+'Analyse resultats'!DQ100</f>
        <v>0</v>
      </c>
      <c r="L10" s="27">
        <f>+'Analyse resultats'!DR100</f>
        <v>0</v>
      </c>
      <c r="M10" s="27">
        <f>+'Analyse resultats'!DS100</f>
        <v>0</v>
      </c>
      <c r="N10" s="27">
        <f>+'Analyse resultats'!DT100</f>
        <v>0</v>
      </c>
      <c r="O10" s="27">
        <f>+'Analyse resultats'!DU100</f>
        <v>0</v>
      </c>
      <c r="P10" s="27">
        <f>+'Analyse resultats'!DV100</f>
        <v>0</v>
      </c>
      <c r="Q10" s="27">
        <f>+'Analyse resultats'!DW100</f>
        <v>0</v>
      </c>
    </row>
    <row r="11" spans="1:17">
      <c r="A11" s="16"/>
      <c r="B11" s="16"/>
      <c r="C11" s="16"/>
      <c r="D11" s="16"/>
      <c r="E11" s="16"/>
      <c r="F11" s="16"/>
      <c r="G11" s="16"/>
      <c r="H11" s="16"/>
    </row>
    <row r="12" spans="1:17" ht="14.45" customHeight="1">
      <c r="A12" s="16"/>
      <c r="B12" s="16"/>
      <c r="C12" s="16"/>
      <c r="D12" s="16"/>
      <c r="E12" s="16"/>
      <c r="F12" s="16"/>
      <c r="G12" s="16"/>
      <c r="H12" s="16"/>
    </row>
    <row r="13" spans="1:17">
      <c r="A13" s="16"/>
      <c r="B13" s="16"/>
      <c r="C13" s="16"/>
      <c r="D13" s="16"/>
      <c r="E13" s="16"/>
      <c r="F13" s="16"/>
      <c r="G13" s="16"/>
      <c r="H13" s="16"/>
    </row>
    <row r="14" spans="1:17">
      <c r="A14" s="16"/>
      <c r="B14" s="16"/>
      <c r="C14" s="16"/>
      <c r="D14" s="16"/>
      <c r="E14" s="16"/>
      <c r="F14" s="16"/>
      <c r="G14" s="16"/>
      <c r="H14" s="16"/>
    </row>
    <row r="15" spans="1:17">
      <c r="A15" s="16"/>
      <c r="B15" s="16"/>
      <c r="C15" s="16"/>
      <c r="D15" s="16"/>
      <c r="E15" s="16"/>
      <c r="F15" s="16"/>
      <c r="G15" s="16"/>
      <c r="H15" s="16"/>
    </row>
    <row r="16" spans="1:17">
      <c r="A16" s="16"/>
      <c r="B16" s="16"/>
      <c r="C16" s="16"/>
      <c r="D16" s="16"/>
      <c r="E16" s="16"/>
      <c r="F16" s="16"/>
      <c r="G16" s="16"/>
      <c r="H16" s="16"/>
    </row>
    <row r="17" spans="1:8">
      <c r="A17" s="16"/>
      <c r="B17" s="16"/>
      <c r="C17" s="16"/>
      <c r="D17" s="16"/>
      <c r="E17" s="16"/>
      <c r="F17" s="16"/>
      <c r="G17" s="16"/>
      <c r="H17" s="16"/>
    </row>
    <row r="18" spans="1:8">
      <c r="A18" s="16"/>
      <c r="B18" s="16"/>
      <c r="C18" s="16"/>
      <c r="D18" s="16"/>
      <c r="E18" s="16"/>
      <c r="F18" s="16"/>
      <c r="G18" s="16"/>
      <c r="H18" s="16"/>
    </row>
    <row r="19" spans="1:8">
      <c r="A19" s="16"/>
      <c r="B19" s="16"/>
      <c r="C19" s="16"/>
      <c r="D19" s="16"/>
      <c r="E19" s="16"/>
      <c r="F19" s="16"/>
      <c r="G19" s="16"/>
      <c r="H19" s="16"/>
    </row>
    <row r="20" spans="1:8">
      <c r="A20" s="16"/>
      <c r="B20" s="16"/>
      <c r="C20" s="16"/>
      <c r="D20" s="16"/>
      <c r="E20" s="16"/>
      <c r="F20" s="16"/>
      <c r="G20" s="16"/>
      <c r="H20" s="16"/>
    </row>
    <row r="21" spans="1:8">
      <c r="A21" s="16"/>
      <c r="B21" s="16"/>
      <c r="C21" s="16"/>
      <c r="D21" s="16"/>
      <c r="E21" s="16"/>
      <c r="F21" s="16"/>
      <c r="G21" s="16"/>
      <c r="H21" s="16"/>
    </row>
    <row r="22" spans="1:8">
      <c r="A22" s="16"/>
      <c r="B22" s="16"/>
      <c r="C22" s="16"/>
      <c r="D22" s="16"/>
      <c r="E22" s="16"/>
      <c r="F22" s="16"/>
      <c r="G22" s="16"/>
      <c r="H22" s="16"/>
    </row>
    <row r="23" spans="1:8">
      <c r="A23" s="16"/>
      <c r="B23" s="16"/>
      <c r="C23" s="16"/>
      <c r="D23" s="16"/>
      <c r="E23" s="16"/>
      <c r="F23" s="16"/>
      <c r="G23" s="16"/>
      <c r="H23" s="16"/>
    </row>
    <row r="24" spans="1:8">
      <c r="A24" s="16"/>
      <c r="B24" s="16"/>
      <c r="C24" s="16"/>
      <c r="D24" s="16"/>
      <c r="E24" s="16"/>
      <c r="F24" s="16"/>
      <c r="G24" s="16"/>
      <c r="H24" s="16"/>
    </row>
    <row r="25" spans="1:8">
      <c r="A25" s="16"/>
      <c r="B25" s="16"/>
      <c r="C25" s="16"/>
      <c r="D25" s="16"/>
      <c r="E25" s="16"/>
      <c r="F25" s="16"/>
      <c r="G25" s="16"/>
      <c r="H25" s="16"/>
    </row>
    <row r="26" spans="1:8">
      <c r="A26" s="16"/>
      <c r="B26" s="16"/>
      <c r="C26" s="16"/>
      <c r="D26" s="16"/>
      <c r="E26" s="16"/>
      <c r="F26" s="16"/>
      <c r="G26" s="16"/>
      <c r="H26" s="16"/>
    </row>
    <row r="27" spans="1:8">
      <c r="A27" s="16"/>
      <c r="B27" s="16"/>
      <c r="C27" s="16"/>
      <c r="D27" s="16"/>
      <c r="E27" s="16"/>
      <c r="F27" s="16"/>
      <c r="G27" s="16"/>
      <c r="H27" s="16"/>
    </row>
    <row r="28" spans="1:8">
      <c r="A28" s="16"/>
      <c r="B28" s="16"/>
      <c r="C28" s="16"/>
      <c r="D28" s="16"/>
      <c r="E28" s="16"/>
      <c r="F28" s="16"/>
      <c r="G28" s="16"/>
      <c r="H28" s="16"/>
    </row>
    <row r="29" spans="1:8">
      <c r="A29" s="16"/>
      <c r="B29" s="16"/>
      <c r="C29" s="16"/>
      <c r="D29" s="16"/>
      <c r="E29" s="16"/>
      <c r="F29" s="16"/>
      <c r="G29" s="16"/>
      <c r="H29" s="16"/>
    </row>
    <row r="30" spans="1:8">
      <c r="A30" s="16"/>
      <c r="B30" s="16"/>
      <c r="C30" s="16"/>
      <c r="D30" s="16"/>
      <c r="E30" s="16"/>
      <c r="F30" s="16"/>
      <c r="G30" s="16"/>
      <c r="H30" s="16"/>
    </row>
    <row r="31" spans="1:8">
      <c r="A31" s="16"/>
      <c r="B31" s="16"/>
      <c r="C31" s="16"/>
      <c r="D31" s="16"/>
      <c r="E31" s="16"/>
      <c r="F31" s="16"/>
      <c r="G31" s="16"/>
      <c r="H31" s="16"/>
    </row>
    <row r="32" spans="1:8">
      <c r="A32" s="16"/>
      <c r="B32" s="16"/>
      <c r="C32" s="16"/>
      <c r="D32" s="16"/>
      <c r="E32" s="16"/>
      <c r="F32" s="16"/>
      <c r="G32" s="16"/>
      <c r="H32" s="16"/>
    </row>
    <row r="33" spans="1:8">
      <c r="A33" s="16"/>
      <c r="B33" s="16"/>
      <c r="C33" s="16"/>
      <c r="D33" s="16"/>
      <c r="E33" s="16"/>
      <c r="F33" s="16"/>
      <c r="G33" s="16"/>
      <c r="H33" s="16"/>
    </row>
    <row r="34" spans="1:8">
      <c r="A34" s="16"/>
      <c r="B34" s="16"/>
      <c r="C34" s="16"/>
      <c r="D34" s="16"/>
      <c r="E34" s="16"/>
      <c r="F34" s="16"/>
      <c r="G34" s="16"/>
      <c r="H34" s="16"/>
    </row>
    <row r="35" spans="1:8">
      <c r="A35" s="16"/>
      <c r="B35" s="16"/>
      <c r="C35" s="16"/>
      <c r="D35" s="16"/>
      <c r="E35" s="16"/>
      <c r="F35" s="16"/>
      <c r="G35" s="16"/>
      <c r="H35" s="16"/>
    </row>
    <row r="36" spans="1:8">
      <c r="A36" s="16"/>
      <c r="B36" s="16"/>
      <c r="C36" s="16"/>
      <c r="D36" s="16"/>
      <c r="E36" s="16"/>
      <c r="F36" s="16"/>
      <c r="G36" s="16"/>
      <c r="H36" s="16"/>
    </row>
    <row r="37" spans="1:8">
      <c r="A37" s="16"/>
      <c r="B37" s="16"/>
      <c r="C37" s="16"/>
      <c r="D37" s="16"/>
      <c r="E37" s="16"/>
      <c r="F37" s="16"/>
      <c r="G37" s="16"/>
      <c r="H37" s="16"/>
    </row>
    <row r="38" spans="1:8">
      <c r="A38" s="16"/>
      <c r="B38" s="16"/>
      <c r="C38" s="16"/>
      <c r="D38" s="16"/>
      <c r="E38" s="16"/>
      <c r="F38" s="16"/>
      <c r="G38" s="16"/>
      <c r="H38" s="16"/>
    </row>
    <row r="39" spans="1:8">
      <c r="A39" s="16"/>
      <c r="B39" s="16"/>
      <c r="C39" s="16"/>
      <c r="D39" s="16"/>
      <c r="E39" s="16"/>
      <c r="F39" s="16"/>
      <c r="G39" s="16"/>
      <c r="H39" s="16"/>
    </row>
    <row r="40" spans="1:8">
      <c r="A40" s="16"/>
      <c r="B40" s="16"/>
      <c r="C40" s="16"/>
      <c r="D40" s="16"/>
      <c r="E40" s="16"/>
      <c r="F40" s="16"/>
      <c r="G40" s="16"/>
      <c r="H40" s="16"/>
    </row>
    <row r="41" spans="1:8">
      <c r="A41" s="16"/>
      <c r="B41" s="16"/>
      <c r="C41" s="16"/>
      <c r="D41" s="16"/>
      <c r="E41" s="16"/>
      <c r="F41" s="16"/>
      <c r="G41" s="16"/>
      <c r="H41" s="16"/>
    </row>
    <row r="42" spans="1:8">
      <c r="A42" s="16"/>
      <c r="B42" s="16"/>
      <c r="C42" s="16"/>
      <c r="D42" s="16"/>
      <c r="E42" s="16"/>
      <c r="F42" s="16"/>
      <c r="G42" s="16"/>
      <c r="H42" s="16"/>
    </row>
    <row r="43" spans="1:8">
      <c r="A43" s="16"/>
      <c r="B43" s="16"/>
      <c r="C43" s="16"/>
      <c r="D43" s="16"/>
      <c r="E43" s="16"/>
      <c r="F43" s="16"/>
      <c r="G43" s="16"/>
      <c r="H43" s="16"/>
    </row>
    <row r="44" spans="1:8">
      <c r="A44" s="16"/>
      <c r="B44" s="16"/>
      <c r="C44" s="16"/>
      <c r="D44" s="16"/>
      <c r="E44" s="16"/>
      <c r="F44" s="16"/>
      <c r="G44" s="16"/>
      <c r="H44" s="16"/>
    </row>
    <row r="45" spans="1:8">
      <c r="A45" s="16"/>
      <c r="B45" s="16"/>
      <c r="C45" s="16"/>
      <c r="D45" s="16"/>
      <c r="E45" s="16"/>
      <c r="F45" s="16"/>
      <c r="G45" s="16"/>
      <c r="H45" s="16"/>
    </row>
    <row r="46" spans="1:8">
      <c r="A46" s="16"/>
      <c r="B46" s="16"/>
      <c r="C46" s="16"/>
      <c r="D46" s="16"/>
      <c r="E46" s="16"/>
      <c r="F46" s="16"/>
      <c r="G46" s="16"/>
      <c r="H46" s="16"/>
    </row>
    <row r="47" spans="1:8">
      <c r="A47" s="16"/>
      <c r="B47" s="16"/>
      <c r="C47" s="16"/>
      <c r="D47" s="16"/>
      <c r="E47" s="16"/>
      <c r="F47" s="16"/>
      <c r="G47" s="16"/>
      <c r="H47" s="16"/>
    </row>
    <row r="48" spans="1:8">
      <c r="A48" s="16"/>
      <c r="B48" s="16"/>
      <c r="C48" s="16"/>
      <c r="D48" s="16"/>
      <c r="E48" s="16"/>
      <c r="F48" s="16"/>
      <c r="G48" s="16"/>
      <c r="H48" s="16"/>
    </row>
    <row r="49" spans="1:8">
      <c r="A49" s="16"/>
      <c r="B49" s="16"/>
      <c r="C49" s="16"/>
      <c r="D49" s="16"/>
      <c r="E49" s="16"/>
      <c r="F49" s="16"/>
      <c r="G49" s="16"/>
      <c r="H49" s="16"/>
    </row>
    <row r="50" spans="1:8">
      <c r="A50" s="16"/>
      <c r="B50" s="16"/>
      <c r="C50" s="16"/>
      <c r="D50" s="16"/>
      <c r="E50" s="16"/>
      <c r="F50" s="16"/>
      <c r="G50" s="16"/>
      <c r="H50" s="16"/>
    </row>
    <row r="51" spans="1:8">
      <c r="A51" s="16"/>
      <c r="B51" s="16"/>
      <c r="C51" s="16"/>
      <c r="D51" s="16"/>
      <c r="E51" s="16"/>
      <c r="F51" s="16"/>
      <c r="G51" s="16"/>
      <c r="H51" s="16"/>
    </row>
    <row r="52" spans="1:8">
      <c r="A52" s="16"/>
      <c r="B52" s="16"/>
      <c r="C52" s="16"/>
      <c r="D52" s="16"/>
      <c r="E52" s="16"/>
      <c r="F52" s="16"/>
      <c r="G52" s="16"/>
      <c r="H52" s="16"/>
    </row>
    <row r="53" spans="1:8">
      <c r="A53" s="16"/>
      <c r="B53" s="16"/>
      <c r="C53" s="16"/>
      <c r="D53" s="16"/>
      <c r="E53" s="16"/>
      <c r="F53" s="16"/>
      <c r="G53" s="16"/>
      <c r="H53" s="16"/>
    </row>
    <row r="54" spans="1:8">
      <c r="A54" s="16"/>
      <c r="B54" s="16"/>
      <c r="C54" s="16"/>
      <c r="D54" s="16"/>
      <c r="E54" s="16"/>
      <c r="F54" s="16"/>
      <c r="G54" s="16"/>
      <c r="H54" s="16"/>
    </row>
    <row r="55" spans="1:8">
      <c r="A55" s="16"/>
      <c r="B55" s="16"/>
      <c r="C55" s="16"/>
      <c r="D55" s="16"/>
      <c r="E55" s="16"/>
      <c r="F55" s="16"/>
      <c r="G55" s="16"/>
      <c r="H55" s="16"/>
    </row>
    <row r="56" spans="1:8">
      <c r="A56" s="16"/>
      <c r="B56" s="16"/>
      <c r="C56" s="16"/>
      <c r="D56" s="16"/>
      <c r="E56" s="16"/>
      <c r="F56" s="16"/>
      <c r="G56" s="16"/>
      <c r="H56" s="16"/>
    </row>
    <row r="57" spans="1:8">
      <c r="A57" s="16"/>
      <c r="B57" s="16"/>
      <c r="C57" s="16"/>
      <c r="D57" s="16"/>
      <c r="E57" s="16"/>
      <c r="F57" s="16"/>
      <c r="G57" s="16"/>
      <c r="H57" s="16"/>
    </row>
    <row r="58" spans="1:8">
      <c r="A58" s="16"/>
      <c r="B58" s="16"/>
      <c r="C58" s="16"/>
      <c r="D58" s="16"/>
      <c r="E58" s="16"/>
      <c r="F58" s="16"/>
      <c r="G58" s="16"/>
      <c r="H58" s="16"/>
    </row>
    <row r="59" spans="1:8">
      <c r="A59" s="16"/>
      <c r="B59" s="16"/>
      <c r="C59" s="16"/>
      <c r="D59" s="16"/>
      <c r="E59" s="16"/>
      <c r="F59" s="16"/>
      <c r="G59" s="16"/>
      <c r="H59" s="16"/>
    </row>
    <row r="60" spans="1:8">
      <c r="A60" s="16"/>
      <c r="B60" s="16"/>
      <c r="C60" s="16"/>
      <c r="D60" s="16"/>
      <c r="E60" s="16"/>
      <c r="F60" s="16"/>
      <c r="G60" s="16"/>
      <c r="H60" s="16"/>
    </row>
    <row r="61" spans="1:8">
      <c r="A61" s="16"/>
      <c r="B61" s="16"/>
      <c r="C61" s="16"/>
      <c r="D61" s="16"/>
      <c r="E61" s="16"/>
      <c r="F61" s="16"/>
      <c r="G61" s="16"/>
      <c r="H61" s="16"/>
    </row>
    <row r="62" spans="1:8">
      <c r="A62" s="16"/>
      <c r="B62" s="16"/>
      <c r="C62" s="16"/>
      <c r="D62" s="16"/>
      <c r="E62" s="16"/>
      <c r="F62" s="16"/>
      <c r="G62" s="16"/>
      <c r="H62" s="16"/>
    </row>
    <row r="63" spans="1:8">
      <c r="A63" s="16"/>
      <c r="B63" s="16"/>
      <c r="C63" s="16"/>
      <c r="D63" s="16"/>
      <c r="E63" s="16"/>
      <c r="F63" s="16"/>
      <c r="G63" s="16"/>
      <c r="H63" s="16"/>
    </row>
    <row r="64" spans="1:8">
      <c r="A64" s="16"/>
      <c r="B64" s="16"/>
      <c r="C64" s="16"/>
      <c r="D64" s="16"/>
      <c r="E64" s="16"/>
      <c r="F64" s="16"/>
      <c r="G64" s="16"/>
      <c r="H64" s="16"/>
    </row>
    <row r="65" spans="1:8">
      <c r="A65" s="16"/>
      <c r="B65" s="16"/>
      <c r="C65" s="16"/>
      <c r="D65" s="16"/>
      <c r="E65" s="16"/>
      <c r="F65" s="16"/>
      <c r="G65" s="16"/>
      <c r="H65" s="16"/>
    </row>
    <row r="66" spans="1:8">
      <c r="A66" s="16"/>
      <c r="B66" s="16"/>
      <c r="C66" s="16"/>
      <c r="D66" s="16"/>
      <c r="E66" s="16"/>
      <c r="F66" s="16"/>
      <c r="G66" s="16"/>
      <c r="H66" s="16"/>
    </row>
    <row r="67" spans="1:8">
      <c r="A67" s="16"/>
      <c r="B67" s="16"/>
      <c r="C67" s="16"/>
      <c r="D67" s="16"/>
      <c r="E67" s="16"/>
      <c r="F67" s="16"/>
      <c r="G67" s="16"/>
      <c r="H67" s="16"/>
    </row>
    <row r="68" spans="1:8">
      <c r="A68" s="16"/>
      <c r="B68" s="16"/>
      <c r="C68" s="16"/>
      <c r="D68" s="16"/>
      <c r="E68" s="16"/>
      <c r="F68" s="16"/>
      <c r="G68" s="16"/>
      <c r="H68" s="16"/>
    </row>
    <row r="69" spans="1:8">
      <c r="A69" s="16"/>
      <c r="B69" s="16"/>
      <c r="C69" s="16"/>
      <c r="D69" s="16"/>
      <c r="E69" s="16"/>
      <c r="F69" s="16"/>
      <c r="G69" s="16"/>
      <c r="H69" s="16"/>
    </row>
    <row r="70" spans="1:8">
      <c r="A70" s="16"/>
      <c r="B70" s="16"/>
      <c r="C70" s="16"/>
      <c r="D70" s="16"/>
      <c r="E70" s="16"/>
      <c r="F70" s="16"/>
      <c r="G70" s="16"/>
      <c r="H70" s="16"/>
    </row>
    <row r="71" spans="1:8">
      <c r="A71" s="16"/>
      <c r="B71" s="16"/>
      <c r="C71" s="16"/>
      <c r="D71" s="16"/>
      <c r="E71" s="16"/>
      <c r="F71" s="16"/>
      <c r="G71" s="16"/>
      <c r="H71" s="16"/>
    </row>
    <row r="72" spans="1:8">
      <c r="A72" s="16"/>
      <c r="B72" s="16"/>
      <c r="C72" s="16"/>
      <c r="D72" s="16"/>
      <c r="E72" s="16"/>
      <c r="F72" s="16"/>
      <c r="G72" s="16"/>
      <c r="H72" s="16"/>
    </row>
    <row r="73" spans="1:8">
      <c r="A73" s="16"/>
      <c r="B73" s="16"/>
      <c r="C73" s="16"/>
      <c r="D73" s="16"/>
      <c r="E73" s="16"/>
      <c r="F73" s="16"/>
      <c r="G73" s="16"/>
      <c r="H73" s="16"/>
    </row>
    <row r="74" spans="1:8">
      <c r="A74" s="16"/>
      <c r="B74" s="16"/>
      <c r="C74" s="16"/>
      <c r="D74" s="16"/>
      <c r="E74" s="16"/>
      <c r="F74" s="16"/>
      <c r="G74" s="16"/>
      <c r="H74" s="16"/>
    </row>
    <row r="75" spans="1:8">
      <c r="A75" s="16"/>
      <c r="B75" s="16"/>
      <c r="C75" s="16"/>
      <c r="D75" s="16"/>
      <c r="E75" s="16"/>
      <c r="F75" s="16"/>
      <c r="G75" s="16"/>
      <c r="H75" s="16"/>
    </row>
    <row r="76" spans="1:8">
      <c r="A76" s="16"/>
      <c r="B76" s="16"/>
      <c r="C76" s="16"/>
      <c r="D76" s="16"/>
      <c r="E76" s="16"/>
      <c r="F76" s="16"/>
      <c r="G76" s="16"/>
      <c r="H76" s="16"/>
    </row>
    <row r="77" spans="1:8">
      <c r="A77" s="16"/>
      <c r="B77" s="16"/>
      <c r="C77" s="16"/>
      <c r="D77" s="16"/>
      <c r="E77" s="16"/>
      <c r="F77" s="16"/>
      <c r="G77" s="16"/>
      <c r="H77" s="16"/>
    </row>
    <row r="78" spans="1:8">
      <c r="A78" s="16"/>
      <c r="B78" s="16"/>
      <c r="C78" s="16"/>
      <c r="D78" s="16"/>
      <c r="E78" s="16"/>
      <c r="F78" s="16"/>
      <c r="G78" s="16"/>
      <c r="H78" s="16"/>
    </row>
    <row r="79" spans="1:8">
      <c r="A79" s="16"/>
      <c r="B79" s="16"/>
      <c r="C79" s="16"/>
      <c r="D79" s="16"/>
      <c r="E79" s="16"/>
      <c r="F79" s="16"/>
      <c r="G79" s="16"/>
      <c r="H79" s="16"/>
    </row>
    <row r="80" spans="1:8">
      <c r="A80" s="16"/>
      <c r="B80" s="16"/>
      <c r="C80" s="16"/>
      <c r="D80" s="16"/>
      <c r="E80" s="16"/>
      <c r="F80" s="16"/>
      <c r="G80" s="16"/>
      <c r="H80" s="16"/>
    </row>
    <row r="81" spans="1:8">
      <c r="A81" s="16"/>
      <c r="B81" s="16"/>
      <c r="C81" s="16"/>
      <c r="D81" s="16"/>
      <c r="E81" s="16"/>
      <c r="F81" s="16"/>
      <c r="G81" s="16"/>
      <c r="H81" s="16"/>
    </row>
    <row r="82" spans="1:8">
      <c r="A82" s="16"/>
      <c r="B82" s="16"/>
      <c r="C82" s="16"/>
      <c r="D82" s="16"/>
      <c r="E82" s="16"/>
      <c r="F82" s="16"/>
      <c r="G82" s="16"/>
      <c r="H82" s="16"/>
    </row>
    <row r="83" spans="1:8">
      <c r="A83" s="16"/>
      <c r="B83" s="16"/>
      <c r="C83" s="16"/>
      <c r="D83" s="16"/>
      <c r="E83" s="16"/>
      <c r="F83" s="16"/>
      <c r="G83" s="16"/>
      <c r="H83" s="16"/>
    </row>
    <row r="84" spans="1:8">
      <c r="A84" s="16"/>
      <c r="B84" s="16"/>
      <c r="C84" s="16"/>
      <c r="D84" s="16"/>
      <c r="E84" s="16"/>
      <c r="F84" s="16"/>
      <c r="G84" s="16"/>
      <c r="H84" s="16"/>
    </row>
    <row r="85" spans="1:8">
      <c r="A85" s="16"/>
      <c r="B85" s="16"/>
      <c r="C85" s="16"/>
      <c r="D85" s="16"/>
      <c r="E85" s="16"/>
      <c r="F85" s="16"/>
      <c r="G85" s="16"/>
      <c r="H85" s="16"/>
    </row>
    <row r="86" spans="1:8">
      <c r="A86" s="16"/>
      <c r="B86" s="16"/>
      <c r="C86" s="16"/>
      <c r="D86" s="16"/>
      <c r="E86" s="16"/>
      <c r="F86" s="16"/>
      <c r="G86" s="16"/>
      <c r="H86" s="16"/>
    </row>
    <row r="87" spans="1:8">
      <c r="A87" s="16"/>
      <c r="B87" s="16"/>
      <c r="C87" s="16"/>
      <c r="D87" s="16"/>
      <c r="E87" s="16"/>
      <c r="F87" s="16"/>
      <c r="G87" s="16"/>
      <c r="H87" s="16"/>
    </row>
    <row r="88" spans="1:8">
      <c r="A88" s="16"/>
      <c r="B88" s="16"/>
      <c r="C88" s="16"/>
      <c r="D88" s="16"/>
      <c r="E88" s="16"/>
      <c r="F88" s="16"/>
      <c r="G88" s="16"/>
      <c r="H88" s="16"/>
    </row>
    <row r="89" spans="1:8">
      <c r="A89" s="16"/>
      <c r="B89" s="16"/>
      <c r="C89" s="16"/>
      <c r="D89" s="16"/>
      <c r="E89" s="16"/>
      <c r="F89" s="16"/>
      <c r="G89" s="16"/>
      <c r="H89" s="16"/>
    </row>
    <row r="90" spans="1:8">
      <c r="A90" s="16"/>
      <c r="B90" s="16"/>
      <c r="C90" s="16"/>
      <c r="D90" s="16"/>
      <c r="E90" s="16"/>
      <c r="F90" s="16"/>
      <c r="G90" s="16"/>
      <c r="H90" s="16"/>
    </row>
    <row r="91" spans="1:8">
      <c r="A91" s="16"/>
      <c r="B91" s="16"/>
      <c r="C91" s="16"/>
      <c r="D91" s="16"/>
      <c r="E91" s="16"/>
      <c r="F91" s="16"/>
      <c r="G91" s="16"/>
      <c r="H91" s="16"/>
    </row>
    <row r="92" spans="1:8">
      <c r="A92" s="16"/>
      <c r="B92" s="16"/>
      <c r="C92" s="16"/>
      <c r="D92" s="16"/>
      <c r="E92" s="16"/>
      <c r="F92" s="16"/>
      <c r="G92" s="16"/>
      <c r="H92" s="16"/>
    </row>
    <row r="93" spans="1:8">
      <c r="A93" s="16"/>
      <c r="B93" s="16"/>
      <c r="C93" s="16"/>
      <c r="D93" s="16"/>
      <c r="E93" s="16"/>
      <c r="F93" s="16"/>
      <c r="G93" s="16"/>
      <c r="H93" s="16"/>
    </row>
    <row r="94" spans="1:8">
      <c r="A94" s="16"/>
      <c r="B94" s="16"/>
      <c r="C94" s="16"/>
      <c r="D94" s="16"/>
      <c r="E94" s="16"/>
      <c r="F94" s="16"/>
      <c r="G94" s="16"/>
      <c r="H94" s="16"/>
    </row>
    <row r="95" spans="1:8">
      <c r="A95" s="16"/>
      <c r="B95" s="16"/>
      <c r="C95" s="16"/>
      <c r="D95" s="16"/>
      <c r="E95" s="16"/>
      <c r="F95" s="16"/>
      <c r="G95" s="16"/>
      <c r="H95" s="16"/>
    </row>
    <row r="96" spans="1:8">
      <c r="A96" s="16"/>
      <c r="B96" s="16"/>
      <c r="C96" s="16"/>
      <c r="D96" s="16"/>
      <c r="E96" s="16"/>
      <c r="F96" s="16"/>
      <c r="G96" s="16"/>
      <c r="H96" s="16"/>
    </row>
    <row r="97" spans="1:8">
      <c r="A97" s="16"/>
      <c r="B97" s="16"/>
      <c r="C97" s="16"/>
      <c r="D97" s="16"/>
      <c r="E97" s="16"/>
      <c r="F97" s="16"/>
      <c r="G97" s="16"/>
      <c r="H97" s="16"/>
    </row>
    <row r="98" spans="1:8">
      <c r="A98" s="16"/>
      <c r="B98" s="16"/>
      <c r="C98" s="16"/>
      <c r="D98" s="16"/>
      <c r="E98" s="16"/>
      <c r="F98" s="16"/>
      <c r="G98" s="16"/>
      <c r="H98" s="16"/>
    </row>
    <row r="99" spans="1:8">
      <c r="A99" s="16"/>
      <c r="B99" s="16"/>
      <c r="C99" s="16"/>
      <c r="D99" s="16"/>
      <c r="E99" s="16"/>
      <c r="F99" s="16"/>
      <c r="G99" s="16"/>
      <c r="H99" s="16"/>
    </row>
    <row r="100" spans="1:8">
      <c r="A100" s="16"/>
      <c r="B100" s="16"/>
      <c r="C100" s="16"/>
      <c r="D100" s="16"/>
      <c r="E100" s="16"/>
      <c r="F100" s="16"/>
      <c r="G100" s="16"/>
      <c r="H100" s="16"/>
    </row>
    <row r="101" spans="1:8">
      <c r="A101" s="16"/>
      <c r="B101" s="16"/>
      <c r="C101" s="16"/>
      <c r="D101" s="16"/>
      <c r="E101" s="16"/>
      <c r="F101" s="16"/>
      <c r="G101" s="16"/>
      <c r="H101" s="16"/>
    </row>
    <row r="102" spans="1:8">
      <c r="B102" s="16"/>
      <c r="C102" s="16"/>
      <c r="D102" s="16"/>
      <c r="E102" s="16"/>
      <c r="F102" s="16"/>
      <c r="G102" s="16"/>
      <c r="H102" s="1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BAFB6C5E869C4785C72FA48831FCEB" ma:contentTypeVersion="21" ma:contentTypeDescription="Crée un document." ma:contentTypeScope="" ma:versionID="f4d0a069ac5310c159872347c1049330">
  <xsd:schema xmlns:xsd="http://www.w3.org/2001/XMLSchema" xmlns:xs="http://www.w3.org/2001/XMLSchema" xmlns:p="http://schemas.microsoft.com/office/2006/metadata/properties" xmlns:ns2="a02e5363-aefc-4e64-9fed-e4322bbc055e" xmlns:ns3="c87b3f2c-8b4d-498a-9faf-33ba978ed67b" targetNamespace="http://schemas.microsoft.com/office/2006/metadata/properties" ma:root="true" ma:fieldsID="f33ce9d116102fbeaed9bda91c10d674" ns2:_="" ns3:_="">
    <xsd:import namespace="a02e5363-aefc-4e64-9fed-e4322bbc055e"/>
    <xsd:import namespace="c87b3f2c-8b4d-498a-9faf-33ba978ed67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_Flow_SignoffStatus" minOccurs="0"/>
                <xsd:element ref="ns2:MediaServiceObjectDetectorVersions" minOccurs="0"/>
                <xsd:element ref="ns2:MediaServiceSearchProperties" minOccurs="0"/>
                <xsd:element ref="ns2:Prestatair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2e5363-aefc-4e64-9fed-e4322bbc05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84995b8b-2e27-4930-aea7-85b871cca8d4"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État de validation" ma:internalName="_x00c9_tat_x0020_de_x0020_validation">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Prestataire" ma:index="27" nillable="true" ma:displayName="Prestataire" ma:format="Dropdown" ma:internalName="Prestataire">
      <xsd:simpleType>
        <xsd:restriction base="dms:Text">
          <xsd:maxLength value="255"/>
        </xsd:restriction>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7b3f2c-8b4d-498a-9faf-33ba978ed67b"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48736c2a-76a1-4ff6-a68b-af95a158cea9}" ma:internalName="TaxCatchAll" ma:showField="CatchAllData" ma:web="c87b3f2c-8b4d-498a-9faf-33ba978ed6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a02e5363-aefc-4e64-9fed-e4322bbc055e" xsi:nil="true"/>
    <lcf76f155ced4ddcb4097134ff3c332f xmlns="a02e5363-aefc-4e64-9fed-e4322bbc055e">
      <Terms xmlns="http://schemas.microsoft.com/office/infopath/2007/PartnerControls"/>
    </lcf76f155ced4ddcb4097134ff3c332f>
    <TaxCatchAll xmlns="c87b3f2c-8b4d-498a-9faf-33ba978ed67b" xsi:nil="true"/>
    <Prestataire xmlns="a02e5363-aefc-4e64-9fed-e4322bbc055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2F02C9-250D-46A1-9895-6A6D5B770B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2e5363-aefc-4e64-9fed-e4322bbc055e"/>
    <ds:schemaRef ds:uri="c87b3f2c-8b4d-498a-9faf-33ba978ed6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08C831-4EE5-4B2A-851F-4A243494BA87}">
  <ds:schemaRefs>
    <ds:schemaRef ds:uri="http://schemas.microsoft.com/office/2006/metadata/properties"/>
    <ds:schemaRef ds:uri="http://schemas.microsoft.com/office/infopath/2007/PartnerControls"/>
    <ds:schemaRef ds:uri="a02e5363-aefc-4e64-9fed-e4322bbc055e"/>
    <ds:schemaRef ds:uri="c87b3f2c-8b4d-498a-9faf-33ba978ed67b"/>
  </ds:schemaRefs>
</ds:datastoreItem>
</file>

<file path=customXml/itemProps3.xml><?xml version="1.0" encoding="utf-8"?>
<ds:datastoreItem xmlns:ds="http://schemas.openxmlformats.org/officeDocument/2006/customXml" ds:itemID="{4655DFDD-A73D-45A2-A8D0-3ABD632600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1</vt:i4>
      </vt:variant>
    </vt:vector>
  </HeadingPairs>
  <TitlesOfParts>
    <vt:vector size="13" baseType="lpstr">
      <vt:lpstr>4-Synthése Questions   </vt:lpstr>
      <vt:lpstr>Analyse resultats</vt:lpstr>
      <vt:lpstr>PR MARCHE PAR FI</vt:lpstr>
      <vt:lpstr>Veille sur le marché</vt:lpstr>
      <vt:lpstr>Frein au marché </vt:lpstr>
      <vt:lpstr>Frein  marché par fillié NV 1  </vt:lpstr>
      <vt:lpstr>FILLIERRES</vt:lpstr>
      <vt:lpstr>Frein  marché par fillié NV (2)</vt:lpstr>
      <vt:lpstr>Frein  marché par fillié NV (3)</vt:lpstr>
      <vt:lpstr>Frein  marché par fillié NV (4)</vt:lpstr>
      <vt:lpstr>Frein  marché par fillié NV (5)</vt:lpstr>
      <vt:lpstr>Frein  marché par fillié NV (6)</vt:lpstr>
      <vt:lpstr>'4-Synthése Questions   '!Zone_d_impression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Garnier NGANDO</dc:creator>
  <cp:lastModifiedBy>Utilisateur Windows</cp:lastModifiedBy>
  <dcterms:created xsi:type="dcterms:W3CDTF">2025-11-29T07:57:50Z</dcterms:created>
  <dcterms:modified xsi:type="dcterms:W3CDTF">2025-12-10T11:15:26Z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0x01010038BAFB6C5E869C4785C72FA48831FCEB</vt:lpwstr>
  </property>
  <property fmtid="{D5CDD505-2E9C-101B-9397-08002B2CF9AE}" pid="3" name="MediaServiceImageTags">
    <vt:lpwstr/>
  </property>
</Properties>
</file>